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10.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552" windowHeight="10560" firstSheet="3" activeTab="4"/>
  </bookViews>
  <sheets>
    <sheet name="all-cause mortality" sheetId="2" r:id="rId1"/>
    <sheet name="hospitalization" sheetId="3" r:id="rId2"/>
    <sheet name="Circulatory Diseases Mortality " sheetId="4" r:id="rId3"/>
    <sheet name="emergency" sheetId="5" r:id="rId4"/>
    <sheet name="Respiratory Diseases Mortality " sheetId="6" r:id="rId5"/>
    <sheet name="Mental Disorders Mortality" sheetId="7" r:id="rId6"/>
    <sheet name="Circulatory Diseases Morbidity" sheetId="8" r:id="rId7"/>
    <sheet name="Nervous Diseases Mortality " sheetId="9" r:id="rId8"/>
    <sheet name="Metabolic Diseases Mortality" sheetId="10" r:id="rId9"/>
    <sheet name="Genitourinary Diseases Mortalit" sheetId="11" r:id="rId10"/>
  </sheets>
  <externalReferences>
    <externalReference r:id="rId11"/>
  </externalReferences>
  <definedNames>
    <definedName name="_xlnm._FilterDatabase" localSheetId="0" hidden="1">'all-cause mortality'!$A$1:$AB$88</definedName>
    <definedName name="_xlnm._FilterDatabase" localSheetId="1" hidden="1">hospitalization!$A$1:$AB$52</definedName>
    <definedName name="_xlnm._FilterDatabase" localSheetId="2" hidden="1">'Circulatory Diseases Mortality '!$A$1:$AB$26</definedName>
    <definedName name="_xlnm._FilterDatabase" localSheetId="3" hidden="1">emergency!$A$1:$AB$14</definedName>
    <definedName name="_xlnm._FilterDatabase" localSheetId="5" hidden="1">'Mental Disorders Mortality'!$A$1:$AB$7</definedName>
    <definedName name="_xlnm._FilterDatabase" localSheetId="6" hidden="1">'Circulatory Diseases Morbidity'!$A$1:$AB$14</definedName>
    <definedName name="_xlnm._FilterDatabase" localSheetId="7" hidden="1">'Nervous Diseases Mortality '!$A$1:$AB$5</definedName>
    <definedName name="_xlnm._FilterDatabase" localSheetId="8" hidden="1">'Metabolic Diseases Mortality'!$A$1:$AB$3</definedName>
    <definedName name="_xlnm._FilterDatabase" localSheetId="9" hidden="1">'Genitourinary Diseases Mortalit'!$A$1:$AB$3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Unknown User</author>
  </authors>
  <commentList>
    <comment ref="N1" authorId="0">
      <text>
        <r>
          <rPr>
            <b/>
            <sz val="9"/>
            <rFont val="宋体"/>
            <charset val="134"/>
          </rPr>
          <t>企业用户_195318484:</t>
        </r>
        <r>
          <rPr>
            <sz val="9"/>
            <rFont val="宋体"/>
            <charset val="134"/>
          </rPr>
          <t xml:space="preserve">
纳入了多少项研究，分别是什么类型，meta必写</t>
        </r>
      </text>
    </comment>
    <comment ref="P1" authorId="0">
      <text>
        <r>
          <rPr>
            <b/>
            <sz val="9"/>
            <rFont val="宋体"/>
            <charset val="134"/>
          </rPr>
          <t>企业用户_195318484:</t>
        </r>
        <r>
          <rPr>
            <sz val="9"/>
            <rFont val="宋体"/>
            <charset val="134"/>
          </rPr>
          <t xml:space="preserve">
数据来源；Discussion：没有数据来源标明的临床/回顾性研究可能对数据采集有不准确的地方</t>
        </r>
      </text>
    </comment>
    <comment ref="T1" authorId="0">
      <text>
        <r>
          <rPr>
            <b/>
            <sz val="9"/>
            <rFont val="宋体"/>
            <charset val="134"/>
          </rPr>
          <t>企业用户_195318484:</t>
        </r>
        <r>
          <rPr>
            <sz val="9"/>
            <rFont val="宋体"/>
            <charset val="134"/>
          </rPr>
          <t xml:space="preserve">
对应结局类型</t>
        </r>
      </text>
    </comment>
    <comment ref="V1" authorId="0">
      <text>
        <r>
          <rPr>
            <b/>
            <sz val="9"/>
            <rFont val="宋体"/>
            <charset val="134"/>
          </rPr>
          <t>企业用户_195318484:</t>
        </r>
        <r>
          <rPr>
            <sz val="9"/>
            <rFont val="宋体"/>
            <charset val="134"/>
          </rPr>
          <t xml:space="preserve">
对应结局类型</t>
        </r>
      </text>
    </comment>
  </commentList>
</comments>
</file>

<file path=xl/comments2.xml><?xml version="1.0" encoding="utf-8"?>
<comments xmlns="http://schemas.openxmlformats.org/spreadsheetml/2006/main">
  <authors>
    <author>Unknown User</author>
  </authors>
  <commentList>
    <comment ref="N1" authorId="0">
      <text>
        <r>
          <rPr>
            <b/>
            <sz val="9"/>
            <rFont val="宋体"/>
            <charset val="134"/>
          </rPr>
          <t>企业用户_195318484:</t>
        </r>
        <r>
          <rPr>
            <sz val="9"/>
            <rFont val="宋体"/>
            <charset val="134"/>
          </rPr>
          <t xml:space="preserve">
纳入了多少项研究，分别是什么类型，meta必写</t>
        </r>
      </text>
    </comment>
    <comment ref="P1" authorId="0">
      <text>
        <r>
          <rPr>
            <b/>
            <sz val="9"/>
            <rFont val="宋体"/>
            <charset val="134"/>
          </rPr>
          <t>企业用户_195318484:</t>
        </r>
        <r>
          <rPr>
            <sz val="9"/>
            <rFont val="宋体"/>
            <charset val="134"/>
          </rPr>
          <t xml:space="preserve">
数据来源；Discussion：没有数据来源标明的临床/回顾性研究可能对数据采集有不准确的地方</t>
        </r>
      </text>
    </comment>
    <comment ref="T1" authorId="0">
      <text>
        <r>
          <rPr>
            <b/>
            <sz val="9"/>
            <rFont val="宋体"/>
            <charset val="134"/>
          </rPr>
          <t>企业用户_195318484:</t>
        </r>
        <r>
          <rPr>
            <sz val="9"/>
            <rFont val="宋体"/>
            <charset val="134"/>
          </rPr>
          <t xml:space="preserve">
对应结局类型</t>
        </r>
      </text>
    </comment>
    <comment ref="V1" authorId="0">
      <text>
        <r>
          <rPr>
            <b/>
            <sz val="9"/>
            <rFont val="宋体"/>
            <charset val="134"/>
          </rPr>
          <t>企业用户_195318484:</t>
        </r>
        <r>
          <rPr>
            <sz val="9"/>
            <rFont val="宋体"/>
            <charset val="134"/>
          </rPr>
          <t xml:space="preserve">
对应结局类型</t>
        </r>
      </text>
    </comment>
  </commentList>
</comments>
</file>

<file path=xl/comments3.xml><?xml version="1.0" encoding="utf-8"?>
<comments xmlns="http://schemas.openxmlformats.org/spreadsheetml/2006/main">
  <authors>
    <author>Unknown User</author>
  </authors>
  <commentList>
    <comment ref="N1" authorId="0">
      <text>
        <r>
          <rPr>
            <b/>
            <sz val="9"/>
            <rFont val="宋体"/>
            <charset val="134"/>
          </rPr>
          <t>企业用户_195318484:</t>
        </r>
        <r>
          <rPr>
            <sz val="9"/>
            <rFont val="宋体"/>
            <charset val="134"/>
          </rPr>
          <t xml:space="preserve">
纳入了多少项研究，分别是什么类型，meta必写</t>
        </r>
      </text>
    </comment>
    <comment ref="P1" authorId="0">
      <text>
        <r>
          <rPr>
            <b/>
            <sz val="9"/>
            <rFont val="宋体"/>
            <charset val="134"/>
          </rPr>
          <t>企业用户_195318484:</t>
        </r>
        <r>
          <rPr>
            <sz val="9"/>
            <rFont val="宋体"/>
            <charset val="134"/>
          </rPr>
          <t xml:space="preserve">
数据来源；Discussion：没有数据来源标明的临床/回顾性研究可能对数据采集有不准确的地方</t>
        </r>
      </text>
    </comment>
    <comment ref="T1" authorId="0">
      <text>
        <r>
          <rPr>
            <b/>
            <sz val="9"/>
            <rFont val="宋体"/>
            <charset val="134"/>
          </rPr>
          <t>企业用户_195318484:</t>
        </r>
        <r>
          <rPr>
            <sz val="9"/>
            <rFont val="宋体"/>
            <charset val="134"/>
          </rPr>
          <t xml:space="preserve">
对应结局类型</t>
        </r>
      </text>
    </comment>
    <comment ref="V1" authorId="0">
      <text>
        <r>
          <rPr>
            <b/>
            <sz val="9"/>
            <rFont val="宋体"/>
            <charset val="134"/>
          </rPr>
          <t>企业用户_195318484:</t>
        </r>
        <r>
          <rPr>
            <sz val="9"/>
            <rFont val="宋体"/>
            <charset val="134"/>
          </rPr>
          <t xml:space="preserve">
对应结局类型</t>
        </r>
      </text>
    </comment>
  </commentList>
</comments>
</file>

<file path=xl/comments4.xml><?xml version="1.0" encoding="utf-8"?>
<comments xmlns="http://schemas.openxmlformats.org/spreadsheetml/2006/main">
  <authors>
    <author>Unknown User</author>
  </authors>
  <commentList>
    <comment ref="N1" authorId="0">
      <text>
        <r>
          <rPr>
            <b/>
            <sz val="9"/>
            <rFont val="宋体"/>
            <charset val="134"/>
          </rPr>
          <t>企业用户_195318484:</t>
        </r>
        <r>
          <rPr>
            <sz val="9"/>
            <rFont val="宋体"/>
            <charset val="134"/>
          </rPr>
          <t xml:space="preserve">
纳入了多少项研究，分别是什么类型，meta必写</t>
        </r>
      </text>
    </comment>
    <comment ref="P1" authorId="0">
      <text>
        <r>
          <rPr>
            <b/>
            <sz val="9"/>
            <rFont val="宋体"/>
            <charset val="134"/>
          </rPr>
          <t>企业用户_195318484:</t>
        </r>
        <r>
          <rPr>
            <sz val="9"/>
            <rFont val="宋体"/>
            <charset val="134"/>
          </rPr>
          <t xml:space="preserve">
数据来源；Discussion：没有数据来源标明的临床/回顾性研究可能对数据采集有不准确的地方</t>
        </r>
      </text>
    </comment>
    <comment ref="T1" authorId="0">
      <text>
        <r>
          <rPr>
            <b/>
            <sz val="9"/>
            <rFont val="宋体"/>
            <charset val="134"/>
          </rPr>
          <t>企业用户_195318484:</t>
        </r>
        <r>
          <rPr>
            <sz val="9"/>
            <rFont val="宋体"/>
            <charset val="134"/>
          </rPr>
          <t xml:space="preserve">
对应结局类型</t>
        </r>
      </text>
    </comment>
    <comment ref="V1" authorId="0">
      <text>
        <r>
          <rPr>
            <b/>
            <sz val="9"/>
            <rFont val="宋体"/>
            <charset val="134"/>
          </rPr>
          <t>企业用户_195318484:</t>
        </r>
        <r>
          <rPr>
            <sz val="9"/>
            <rFont val="宋体"/>
            <charset val="134"/>
          </rPr>
          <t xml:space="preserve">
对应结局类型</t>
        </r>
      </text>
    </comment>
  </commentList>
</comments>
</file>

<file path=xl/comments5.xml><?xml version="1.0" encoding="utf-8"?>
<comments xmlns="http://schemas.openxmlformats.org/spreadsheetml/2006/main">
  <authors>
    <author>Unknown User</author>
  </authors>
  <commentList>
    <comment ref="N1" authorId="0">
      <text>
        <r>
          <rPr>
            <b/>
            <sz val="9"/>
            <rFont val="宋体"/>
            <charset val="134"/>
          </rPr>
          <t>企业用户_195318484:</t>
        </r>
        <r>
          <rPr>
            <sz val="9"/>
            <rFont val="宋体"/>
            <charset val="134"/>
          </rPr>
          <t xml:space="preserve">
纳入了多少项研究，分别是什么类型，meta必写</t>
        </r>
      </text>
    </comment>
    <comment ref="P1" authorId="0">
      <text>
        <r>
          <rPr>
            <b/>
            <sz val="9"/>
            <rFont val="宋体"/>
            <charset val="134"/>
          </rPr>
          <t>企业用户_195318484:</t>
        </r>
        <r>
          <rPr>
            <sz val="9"/>
            <rFont val="宋体"/>
            <charset val="134"/>
          </rPr>
          <t xml:space="preserve">
数据来源；Discussion：没有数据来源标明的临床/回顾性研究可能对数据采集有不准确的地方</t>
        </r>
      </text>
    </comment>
    <comment ref="T1" authorId="0">
      <text>
        <r>
          <rPr>
            <b/>
            <sz val="9"/>
            <rFont val="宋体"/>
            <charset val="134"/>
          </rPr>
          <t>企业用户_195318484:</t>
        </r>
        <r>
          <rPr>
            <sz val="9"/>
            <rFont val="宋体"/>
            <charset val="134"/>
          </rPr>
          <t xml:space="preserve">
对应结局类型</t>
        </r>
      </text>
    </comment>
    <comment ref="V1" authorId="0">
      <text>
        <r>
          <rPr>
            <b/>
            <sz val="9"/>
            <rFont val="宋体"/>
            <charset val="134"/>
          </rPr>
          <t>企业用户_195318484:</t>
        </r>
        <r>
          <rPr>
            <sz val="9"/>
            <rFont val="宋体"/>
            <charset val="134"/>
          </rPr>
          <t xml:space="preserve">
对应结局类型</t>
        </r>
      </text>
    </comment>
  </commentList>
</comments>
</file>

<file path=xl/comments6.xml><?xml version="1.0" encoding="utf-8"?>
<comments xmlns="http://schemas.openxmlformats.org/spreadsheetml/2006/main">
  <authors>
    <author>Unknown User</author>
  </authors>
  <commentList>
    <comment ref="N1" authorId="0">
      <text>
        <r>
          <rPr>
            <b/>
            <sz val="9"/>
            <rFont val="宋体"/>
            <charset val="134"/>
          </rPr>
          <t>企业用户_195318484:</t>
        </r>
        <r>
          <rPr>
            <sz val="9"/>
            <rFont val="宋体"/>
            <charset val="134"/>
          </rPr>
          <t xml:space="preserve">
纳入了多少项研究，分别是什么类型，meta必写</t>
        </r>
      </text>
    </comment>
    <comment ref="P1" authorId="0">
      <text>
        <r>
          <rPr>
            <b/>
            <sz val="9"/>
            <rFont val="宋体"/>
            <charset val="134"/>
          </rPr>
          <t>企业用户_195318484:</t>
        </r>
        <r>
          <rPr>
            <sz val="9"/>
            <rFont val="宋体"/>
            <charset val="134"/>
          </rPr>
          <t xml:space="preserve">
数据来源；Discussion：没有数据来源标明的临床/回顾性研究可能对数据采集有不准确的地方</t>
        </r>
      </text>
    </comment>
    <comment ref="T1" authorId="0">
      <text>
        <r>
          <rPr>
            <b/>
            <sz val="9"/>
            <rFont val="宋体"/>
            <charset val="134"/>
          </rPr>
          <t>企业用户_195318484:</t>
        </r>
        <r>
          <rPr>
            <sz val="9"/>
            <rFont val="宋体"/>
            <charset val="134"/>
          </rPr>
          <t xml:space="preserve">
对应结局类型</t>
        </r>
      </text>
    </comment>
    <comment ref="V1" authorId="0">
      <text>
        <r>
          <rPr>
            <b/>
            <sz val="9"/>
            <rFont val="宋体"/>
            <charset val="134"/>
          </rPr>
          <t>企业用户_195318484:</t>
        </r>
        <r>
          <rPr>
            <sz val="9"/>
            <rFont val="宋体"/>
            <charset val="134"/>
          </rPr>
          <t xml:space="preserve">
对应结局类型</t>
        </r>
      </text>
    </comment>
  </commentList>
</comments>
</file>

<file path=xl/comments7.xml><?xml version="1.0" encoding="utf-8"?>
<comments xmlns="http://schemas.openxmlformats.org/spreadsheetml/2006/main">
  <authors>
    <author>Unknown User</author>
  </authors>
  <commentList>
    <comment ref="N1" authorId="0">
      <text>
        <r>
          <rPr>
            <b/>
            <sz val="9"/>
            <rFont val="宋体"/>
            <charset val="134"/>
          </rPr>
          <t>企业用户_195318484:</t>
        </r>
        <r>
          <rPr>
            <sz val="9"/>
            <rFont val="宋体"/>
            <charset val="134"/>
          </rPr>
          <t xml:space="preserve">
纳入了多少项研究，分别是什么类型，meta必写</t>
        </r>
      </text>
    </comment>
    <comment ref="P1" authorId="0">
      <text>
        <r>
          <rPr>
            <b/>
            <sz val="9"/>
            <rFont val="宋体"/>
            <charset val="134"/>
          </rPr>
          <t>企业用户_195318484:</t>
        </r>
        <r>
          <rPr>
            <sz val="9"/>
            <rFont val="宋体"/>
            <charset val="134"/>
          </rPr>
          <t xml:space="preserve">
数据来源；Discussion：没有数据来源标明的临床/回顾性研究可能对数据采集有不准确的地方</t>
        </r>
      </text>
    </comment>
    <comment ref="T1" authorId="0">
      <text>
        <r>
          <rPr>
            <b/>
            <sz val="9"/>
            <rFont val="宋体"/>
            <charset val="134"/>
          </rPr>
          <t>企业用户_195318484:</t>
        </r>
        <r>
          <rPr>
            <sz val="9"/>
            <rFont val="宋体"/>
            <charset val="134"/>
          </rPr>
          <t xml:space="preserve">
对应结局类型</t>
        </r>
      </text>
    </comment>
    <comment ref="V1" authorId="0">
      <text>
        <r>
          <rPr>
            <b/>
            <sz val="9"/>
            <rFont val="宋体"/>
            <charset val="134"/>
          </rPr>
          <t>企业用户_195318484:</t>
        </r>
        <r>
          <rPr>
            <sz val="9"/>
            <rFont val="宋体"/>
            <charset val="134"/>
          </rPr>
          <t xml:space="preserve">
对应结局类型</t>
        </r>
      </text>
    </comment>
  </commentList>
</comments>
</file>

<file path=xl/comments8.xml><?xml version="1.0" encoding="utf-8"?>
<comments xmlns="http://schemas.openxmlformats.org/spreadsheetml/2006/main">
  <authors>
    <author>Unknown User</author>
  </authors>
  <commentList>
    <comment ref="N1" authorId="0">
      <text>
        <r>
          <rPr>
            <b/>
            <sz val="9"/>
            <rFont val="宋体"/>
            <charset val="134"/>
          </rPr>
          <t>企业用户_195318484:</t>
        </r>
        <r>
          <rPr>
            <sz val="9"/>
            <rFont val="宋体"/>
            <charset val="134"/>
          </rPr>
          <t xml:space="preserve">
纳入了多少项研究，分别是什么类型，meta必写</t>
        </r>
      </text>
    </comment>
    <comment ref="P1" authorId="0">
      <text>
        <r>
          <rPr>
            <b/>
            <sz val="9"/>
            <rFont val="宋体"/>
            <charset val="134"/>
          </rPr>
          <t>企业用户_195318484:</t>
        </r>
        <r>
          <rPr>
            <sz val="9"/>
            <rFont val="宋体"/>
            <charset val="134"/>
          </rPr>
          <t xml:space="preserve">
数据来源；Discussion：没有数据来源标明的临床/回顾性研究可能对数据采集有不准确的地方</t>
        </r>
      </text>
    </comment>
    <comment ref="T1" authorId="0">
      <text>
        <r>
          <rPr>
            <b/>
            <sz val="9"/>
            <rFont val="宋体"/>
            <charset val="134"/>
          </rPr>
          <t>企业用户_195318484:</t>
        </r>
        <r>
          <rPr>
            <sz val="9"/>
            <rFont val="宋体"/>
            <charset val="134"/>
          </rPr>
          <t xml:space="preserve">
对应结局类型</t>
        </r>
      </text>
    </comment>
    <comment ref="V1" authorId="0">
      <text>
        <r>
          <rPr>
            <b/>
            <sz val="9"/>
            <rFont val="宋体"/>
            <charset val="134"/>
          </rPr>
          <t>企业用户_195318484:</t>
        </r>
        <r>
          <rPr>
            <sz val="9"/>
            <rFont val="宋体"/>
            <charset val="134"/>
          </rPr>
          <t xml:space="preserve">
对应结局类型</t>
        </r>
      </text>
    </comment>
  </commentList>
</comments>
</file>

<file path=xl/comments9.xml><?xml version="1.0" encoding="utf-8"?>
<comments xmlns="http://schemas.openxmlformats.org/spreadsheetml/2006/main">
  <authors>
    <author>Unknown User</author>
  </authors>
  <commentList>
    <comment ref="N1" authorId="0">
      <text>
        <r>
          <rPr>
            <b/>
            <sz val="9"/>
            <rFont val="宋体"/>
            <charset val="134"/>
          </rPr>
          <t>企业用户_195318484:</t>
        </r>
        <r>
          <rPr>
            <sz val="9"/>
            <rFont val="宋体"/>
            <charset val="134"/>
          </rPr>
          <t xml:space="preserve">
纳入了多少项研究，分别是什么类型，meta必写</t>
        </r>
      </text>
    </comment>
    <comment ref="P1" authorId="0">
      <text>
        <r>
          <rPr>
            <b/>
            <sz val="9"/>
            <rFont val="宋体"/>
            <charset val="134"/>
          </rPr>
          <t>企业用户_195318484:</t>
        </r>
        <r>
          <rPr>
            <sz val="9"/>
            <rFont val="宋体"/>
            <charset val="134"/>
          </rPr>
          <t xml:space="preserve">
数据来源；Discussion：没有数据来源标明的临床/回顾性研究可能对数据采集有不准确的地方</t>
        </r>
      </text>
    </comment>
    <comment ref="T1" authorId="0">
      <text>
        <r>
          <rPr>
            <b/>
            <sz val="9"/>
            <rFont val="宋体"/>
            <charset val="134"/>
          </rPr>
          <t>企业用户_195318484:</t>
        </r>
        <r>
          <rPr>
            <sz val="9"/>
            <rFont val="宋体"/>
            <charset val="134"/>
          </rPr>
          <t xml:space="preserve">
对应结局类型</t>
        </r>
      </text>
    </comment>
    <comment ref="V1" authorId="0">
      <text>
        <r>
          <rPr>
            <b/>
            <sz val="9"/>
            <rFont val="宋体"/>
            <charset val="134"/>
          </rPr>
          <t>企业用户_195318484:</t>
        </r>
        <r>
          <rPr>
            <sz val="9"/>
            <rFont val="宋体"/>
            <charset val="134"/>
          </rPr>
          <t xml:space="preserve">
对应结局类型</t>
        </r>
      </text>
    </comment>
  </commentList>
</comments>
</file>

<file path=xl/comments10.xml><?xml version="1.0" encoding="utf-8"?>
<comments xmlns="http://schemas.openxmlformats.org/spreadsheetml/2006/main">
  <authors>
    <author>Unknown User</author>
  </authors>
  <commentList>
    <comment ref="N1" authorId="0">
      <text>
        <r>
          <rPr>
            <b/>
            <sz val="9"/>
            <rFont val="宋体"/>
            <charset val="134"/>
          </rPr>
          <t>企业用户_195318484:</t>
        </r>
        <r>
          <rPr>
            <sz val="9"/>
            <rFont val="宋体"/>
            <charset val="134"/>
          </rPr>
          <t xml:space="preserve">
纳入了多少项研究，分别是什么类型，meta必写</t>
        </r>
      </text>
    </comment>
    <comment ref="P1" authorId="0">
      <text>
        <r>
          <rPr>
            <b/>
            <sz val="9"/>
            <rFont val="宋体"/>
            <charset val="134"/>
          </rPr>
          <t>企业用户_195318484:</t>
        </r>
        <r>
          <rPr>
            <sz val="9"/>
            <rFont val="宋体"/>
            <charset val="134"/>
          </rPr>
          <t xml:space="preserve">
数据来源；Discussion：没有数据来源标明的临床/回顾性研究可能对数据采集有不准确的地方</t>
        </r>
      </text>
    </comment>
    <comment ref="T1" authorId="0">
      <text>
        <r>
          <rPr>
            <b/>
            <sz val="9"/>
            <rFont val="宋体"/>
            <charset val="134"/>
          </rPr>
          <t>企业用户_195318484:</t>
        </r>
        <r>
          <rPr>
            <sz val="9"/>
            <rFont val="宋体"/>
            <charset val="134"/>
          </rPr>
          <t xml:space="preserve">
对应结局类型</t>
        </r>
      </text>
    </comment>
    <comment ref="V1" authorId="0">
      <text>
        <r>
          <rPr>
            <b/>
            <sz val="9"/>
            <rFont val="宋体"/>
            <charset val="134"/>
          </rPr>
          <t>企业用户_195318484:</t>
        </r>
        <r>
          <rPr>
            <sz val="9"/>
            <rFont val="宋体"/>
            <charset val="134"/>
          </rPr>
          <t xml:space="preserve">
对应结局类型</t>
        </r>
      </text>
    </comment>
  </commentList>
</comments>
</file>

<file path=xl/sharedStrings.xml><?xml version="1.0" encoding="utf-8"?>
<sst xmlns="http://schemas.openxmlformats.org/spreadsheetml/2006/main" count="3292" uniqueCount="386">
  <si>
    <t>Study</t>
  </si>
  <si>
    <t>ID</t>
  </si>
  <si>
    <t>title</t>
  </si>
  <si>
    <t>year</t>
  </si>
  <si>
    <t>Author/Year</t>
  </si>
  <si>
    <t>age</t>
  </si>
  <si>
    <t>Country/Location</t>
  </si>
  <si>
    <t>Continent</t>
  </si>
  <si>
    <t>ClimateZone</t>
  </si>
  <si>
    <t>IncomeGroup</t>
  </si>
  <si>
    <t>Events/(total)</t>
  </si>
  <si>
    <t>Sex (Male Proportion)</t>
  </si>
  <si>
    <r>
      <t>Study design (cross-section/ cohort/ RCT</t>
    </r>
    <r>
      <rPr>
        <sz val="11"/>
        <rFont val="微软雅黑"/>
        <charset val="134"/>
      </rPr>
      <t>）</t>
    </r>
  </si>
  <si>
    <t>Exposure Time Period</t>
  </si>
  <si>
    <t>Temperature measure/source</t>
  </si>
  <si>
    <t>Definiton of climate change</t>
  </si>
  <si>
    <t>Definition of temperature</t>
  </si>
  <si>
    <t>Comparison</t>
  </si>
  <si>
    <t>Lag Time</t>
  </si>
  <si>
    <t>Lagmid</t>
  </si>
  <si>
    <t>LagTape</t>
  </si>
  <si>
    <t>Outcome</t>
  </si>
  <si>
    <t>Metric</t>
  </si>
  <si>
    <t>effect</t>
  </si>
  <si>
    <t>lci</t>
  </si>
  <si>
    <t>uci</t>
  </si>
  <si>
    <t>Effects of apparent temperature on daily mortality in Lisbon and Oporto, Portugal</t>
  </si>
  <si>
    <t>Almeida, S.P et al</t>
  </si>
  <si>
    <t>≥ 65y</t>
  </si>
  <si>
    <t>Lisbon, Portugal</t>
  </si>
  <si>
    <t>Europe</t>
  </si>
  <si>
    <t>Mediterranean</t>
  </si>
  <si>
    <t>High income</t>
  </si>
  <si>
    <t>Daily meteorological variables of mean temperature and dew point temperature for Lisbon and Oporto were obtained from the National Meteorological Institute, for the period under study. For both cities, climate data from only one station was used. In the case of Lisbon the meteorological station (Geofisico) used is in the city centre. This station is considered to be the most precise station for Lisbon, and has the most reliable data series. For Oporto the airport meteorological station (Pedras Rubras) was used as there is no reliable station in the city centre.</t>
  </si>
  <si>
    <t>each 1°C in mean apparent temperature during the warm season (April to September)</t>
  </si>
  <si>
    <t>hot</t>
  </si>
  <si>
    <t>0-1</t>
  </si>
  <si>
    <t>Cumulative Effect</t>
  </si>
  <si>
    <t>all-cause mortality</t>
  </si>
  <si>
    <t>IRR</t>
  </si>
  <si>
    <t>Oporto, Portugal</t>
  </si>
  <si>
    <t>Porto, Portugal</t>
  </si>
  <si>
    <t>time-series study</t>
  </si>
  <si>
    <t>Years of life lost and mortality due to heat and cold in the three largest English cities</t>
  </si>
  <si>
    <t>Katherine Arbuthnott et al.</t>
  </si>
  <si>
    <t>65-74 y</t>
  </si>
  <si>
    <t>Greater London</t>
  </si>
  <si>
    <t>UK</t>
  </si>
  <si>
    <t>Oceanic</t>
  </si>
  <si>
    <t>UK Met Office UKCP09 gridded observation datasets</t>
  </si>
  <si>
    <t>1 °C increase above 90th percentile of the mean temperature distribution</t>
  </si>
  <si>
    <t>0-2</t>
  </si>
  <si>
    <t xml:space="preserve">all-cause mortality </t>
  </si>
  <si>
    <t>RR</t>
  </si>
  <si>
    <t>≥ 75 y</t>
  </si>
  <si>
    <t>Greater Manchester</t>
  </si>
  <si>
    <t>West Midlands</t>
  </si>
  <si>
    <t>≥ 60y</t>
  </si>
  <si>
    <t>Northern Ghana</t>
  </si>
  <si>
    <t>Africa</t>
  </si>
  <si>
    <t>Tropical</t>
  </si>
  <si>
    <t>Lower-middle income</t>
  </si>
  <si>
    <t>Navrongo Meteorology Station</t>
  </si>
  <si>
    <t xml:space="preserve">1°C increase in mean daily temperature &gt; 75th percentile </t>
  </si>
  <si>
    <t>all cause daily mortality</t>
  </si>
  <si>
    <t>2-6</t>
  </si>
  <si>
    <t>7-13</t>
  </si>
  <si>
    <t>Heat effects on mortality in 15 European cities</t>
  </si>
  <si>
    <t>Baccini M et al.</t>
  </si>
  <si>
    <t>Europe (South)</t>
  </si>
  <si>
    <t>30,261,690 (total)</t>
  </si>
  <si>
    <t>nearest airport weatherstation.</t>
  </si>
  <si>
    <t>1°C Increase in Maximum Apparent Temperature Above the City-Specific Threshold</t>
  </si>
  <si>
    <t>0-3</t>
  </si>
  <si>
    <t xml:space="preserve">Natural mortality </t>
  </si>
  <si>
    <t>North-Continental Cities</t>
  </si>
  <si>
    <t>Europe (North/Central)</t>
  </si>
  <si>
    <t>Humid Continental</t>
  </si>
  <si>
    <t>High temperature effect on daily all-cause mortality in Tunis 2005-2007</t>
  </si>
  <si>
    <t>J. Bettaieb</t>
  </si>
  <si>
    <t>Tunis, Tunisia</t>
  </si>
  <si>
    <t>NA</t>
  </si>
  <si>
    <t>National Meteorological Institute</t>
  </si>
  <si>
    <t>1 °C increase in daily maximum temperature</t>
  </si>
  <si>
    <t>Total mortality</t>
  </si>
  <si>
    <t>OR</t>
  </si>
  <si>
    <t>Netherlands</t>
  </si>
  <si>
    <t>1°C change in temperature</t>
  </si>
  <si>
    <t>0-7</t>
  </si>
  <si>
    <t>mortality</t>
  </si>
  <si>
    <t>Weather and mortality: a 10 year retrospective analysis of the Nouna Health and Demographic Surveillance System, Burkina Faso</t>
  </si>
  <si>
    <t>Diboulo E 2012</t>
  </si>
  <si>
    <t>Nouna area, Burkina Faso</t>
  </si>
  <si>
    <t>Nouna, Burkina Faso</t>
  </si>
  <si>
    <t>Semi-arid</t>
  </si>
  <si>
    <t>Low income</t>
  </si>
  <si>
    <t>10 onsite meteorological stations run by the Nouna Health Centre the nearest monitoring station associated with the
 World Meteorological Organization(WMO)</t>
  </si>
  <si>
    <t>1°C increase of temperature per lag strata</t>
  </si>
  <si>
    <r>
      <t>2</t>
    </r>
    <r>
      <rPr>
        <sz val="11"/>
        <rFont val="微软雅黑"/>
        <charset val="134"/>
      </rPr>
      <t>、</t>
    </r>
    <r>
      <rPr>
        <sz val="11"/>
        <rFont val="Times New Roman"/>
        <charset val="134"/>
      </rPr>
      <t>6</t>
    </r>
  </si>
  <si>
    <r>
      <t>7</t>
    </r>
    <r>
      <rPr>
        <sz val="11"/>
        <rFont val="微软雅黑"/>
        <charset val="134"/>
      </rPr>
      <t>、</t>
    </r>
    <r>
      <rPr>
        <sz val="11"/>
        <rFont val="Times New Roman"/>
        <charset val="134"/>
      </rPr>
      <t>13</t>
    </r>
  </si>
  <si>
    <t>Beirut, Mediterranean</t>
  </si>
  <si>
    <t>Beirut, Lebanon</t>
  </si>
  <si>
    <t>Asia</t>
  </si>
  <si>
    <t xml:space="preserve">1 °C increase above minimum-mortality temperature </t>
  </si>
  <si>
    <t>Instant Effect</t>
  </si>
  <si>
    <t>1,2</t>
  </si>
  <si>
    <t>3,6</t>
  </si>
  <si>
    <t>The Threshold Temperature and Lag Effects on Daily Excess Mortality in Harbin, China: A Time Series Analysis</t>
  </si>
  <si>
    <t>Hanlu Gao</t>
  </si>
  <si>
    <t>Harbin, China</t>
  </si>
  <si>
    <t>Continental Monsoon</t>
  </si>
  <si>
    <t>Upper-middle income</t>
  </si>
  <si>
    <t>Harbin Bureaus of Meteorology</t>
  </si>
  <si>
    <t>1 °C increase in the daily mean temperature above the threshold temperature</t>
  </si>
  <si>
    <t xml:space="preserve">daily all-cause mortality </t>
  </si>
  <si>
    <t>England and Wales</t>
  </si>
  <si>
    <t>Each Government Office Region in England and Wales</t>
  </si>
  <si>
    <t xml:space="preserve"> 1ºC increase above the region-specific heat thresholds ( 93rd percentile of region-specific year-round distribution of maximum temperature )</t>
  </si>
  <si>
    <t>All-cause mortality</t>
  </si>
  <si>
    <t>Effect modification of the association between meteorological variables and mortality by urban climatic conditions in the tropical city of Kaohsiung, Taiwan</t>
  </si>
  <si>
    <t>Goggins WB</t>
  </si>
  <si>
    <t>Taiwan, China</t>
  </si>
  <si>
    <t>Humid Subtropical</t>
  </si>
  <si>
    <t>Central Weather Bureau</t>
  </si>
  <si>
    <t>Mean temperature 1 °C rise</t>
  </si>
  <si>
    <t>0-4</t>
  </si>
  <si>
    <t>Impact of heat on all-cause and cause-specific mortality: A multi-city study in Texas</t>
  </si>
  <si>
    <t>Chunyu Guo</t>
  </si>
  <si>
    <t>Texas, USA</t>
  </si>
  <si>
    <t>North America</t>
  </si>
  <si>
    <t>Integrated Surface Database (ISD) in the National Climate Data Center (NCDC)</t>
  </si>
  <si>
    <t xml:space="preserve">1°C increase of temperature </t>
  </si>
  <si>
    <t>0-6</t>
  </si>
  <si>
    <t xml:space="preserve">mortality </t>
  </si>
  <si>
    <t>A large change in temperature between neighbouring days increases the risk of mortality</t>
  </si>
  <si>
    <t>Yuming Guo, et</t>
  </si>
  <si>
    <t>Brisbane, Australia</t>
  </si>
  <si>
    <t>Oceania</t>
  </si>
  <si>
    <t>Australian Bureau of Meteorology</t>
  </si>
  <si>
    <t>Los Angels, USA</t>
  </si>
  <si>
    <t>Los Angeles, USA</t>
  </si>
  <si>
    <t>National Morbidity and Mortality Air Pollution Study (NMMAPS)</t>
  </si>
  <si>
    <t>Effect of previous-winter mortality on the association between summer temperature and mortality in South Korea</t>
  </si>
  <si>
    <t>Jongsik Ha</t>
  </si>
  <si>
    <t>Seoul, Korea</t>
  </si>
  <si>
    <t>Seoul, South Korea</t>
  </si>
  <si>
    <t>Korea Meteorological Administration</t>
  </si>
  <si>
    <t>1°C increase of temperature above threshold(27.4 (27.07–28.37))</t>
  </si>
  <si>
    <t xml:space="preserve">mortality in summer </t>
  </si>
  <si>
    <t>Daegu</t>
  </si>
  <si>
    <t>Daegu, South Korea</t>
  </si>
  <si>
    <t>1°C increase of temperature above threshold(27.3 (26.61–28.42))</t>
  </si>
  <si>
    <t>Incheon</t>
  </si>
  <si>
    <t>Incheon, South Korea</t>
  </si>
  <si>
    <t>1°C increase of temperature above threshold(24.1 (22.84–27.91))</t>
  </si>
  <si>
    <t>Distributed lag effects in the relationship between temperature and mortality in three major cities in South Korea</t>
  </si>
  <si>
    <t xml:space="preserve"> </t>
  </si>
  <si>
    <t>1°C increase of temperature above threshold(27.9°C)</t>
  </si>
  <si>
    <t>mortality from  natural cause</t>
  </si>
  <si>
    <t>1°C increase of temperature above threshold(26.0°C)</t>
  </si>
  <si>
    <t>China</t>
  </si>
  <si>
    <t>Mixed</t>
  </si>
  <si>
    <t xml:space="preserve"> China National Weather Data Sharing System</t>
  </si>
  <si>
    <t>1°C temperature increase above the MMT</t>
  </si>
  <si>
    <r>
      <t>death(due to all non-accidental causes</t>
    </r>
    <r>
      <rPr>
        <sz val="11"/>
        <rFont val="微软雅黑"/>
        <charset val="134"/>
      </rPr>
      <t>，</t>
    </r>
    <r>
      <rPr>
        <sz val="11"/>
        <rFont val="Times New Roman"/>
        <charset val="134"/>
      </rPr>
      <t xml:space="preserve"> cardiovascular diseases</t>
    </r>
    <r>
      <rPr>
        <sz val="11"/>
        <rFont val="微软雅黑"/>
        <charset val="134"/>
      </rPr>
      <t>，</t>
    </r>
    <r>
      <rPr>
        <sz val="11"/>
        <rFont val="Times New Roman"/>
        <charset val="134"/>
      </rPr>
      <t xml:space="preserve"> respiratory diseases</t>
    </r>
    <r>
      <rPr>
        <sz val="11"/>
        <rFont val="微软雅黑"/>
        <charset val="134"/>
      </rPr>
      <t>）</t>
    </r>
  </si>
  <si>
    <t>Socioenvironmental factors associated with heat and cold-related mortality in Vadu HDSS, western India: a population-based case-crossover study</t>
  </si>
  <si>
    <t>Vijendra Ingole, et</t>
  </si>
  <si>
    <t>Vadu HDSS, India</t>
  </si>
  <si>
    <t>Pune, India</t>
  </si>
  <si>
    <t>3079(toatl)</t>
  </si>
  <si>
    <t>case-crossover study</t>
  </si>
  <si>
    <t>National Oceanic and Atmospheric Administration (NOAA)</t>
  </si>
  <si>
    <t>1°C increase summer above threshold 31 °C</t>
  </si>
  <si>
    <t>Temperature-related deaths in people with psychosis, dementia and substance misuse</t>
  </si>
  <si>
    <t>Lisa A. Page, et</t>
  </si>
  <si>
    <t>England</t>
  </si>
  <si>
    <t>British Atmospheric Data Centre</t>
  </si>
  <si>
    <t>per 1° increase in temperature(above 93rd percentile)</t>
  </si>
  <si>
    <t>psychosis, dementia, alcohol misuse and other substance misuse mortality</t>
  </si>
  <si>
    <t>Mortality related to temperature and persistent extreme temperatures: a study of cause-specific and age-stratified mortality</t>
  </si>
  <si>
    <t>Joacim Rocklöv, et</t>
  </si>
  <si>
    <t>Stockholm, Sweden</t>
  </si>
  <si>
    <t>main monitoring station at Torkel Knutssongatan in Central Stockholm</t>
  </si>
  <si>
    <t>1°C increase in minimum apparent temperature in summer</t>
  </si>
  <si>
    <t>daily total mortality ( external causes , cardiovascular mortality , respiratory mortality  and non-cardiorespiratory deaths)</t>
  </si>
  <si>
    <t>Mental health disorders and summer temperature-related mortality: A case crossover study</t>
  </si>
  <si>
    <t>Bologna Local Health Trust, Italy</t>
  </si>
  <si>
    <t>Italy</t>
  </si>
  <si>
    <t>18 monitoring stations of the Regional Agency for Prevention, Environment and Energy of Emilia Romagna</t>
  </si>
  <si>
    <t>per 1 °C increase above 24 °C in Mean Apparent Temperature</t>
  </si>
  <si>
    <t>mortality(65-74 y)</t>
  </si>
  <si>
    <t>mortality(75-84 y)</t>
  </si>
  <si>
    <t>mortality(&gt;= 85 y)</t>
  </si>
  <si>
    <t>North East</t>
  </si>
  <si>
    <r>
      <t xml:space="preserve">1°C increase in temperature above the threshold </t>
    </r>
    <r>
      <rPr>
        <sz val="11"/>
        <rFont val="微软雅黑"/>
        <charset val="134"/>
      </rPr>
      <t>（</t>
    </r>
    <r>
      <rPr>
        <sz val="11"/>
        <rFont val="Times New Roman"/>
        <charset val="134"/>
      </rPr>
      <t>93rd percentiles)</t>
    </r>
  </si>
  <si>
    <t xml:space="preserve">RR </t>
  </si>
  <si>
    <t>North West</t>
  </si>
  <si>
    <t>Yorks and Hum</t>
  </si>
  <si>
    <t>East Midlands</t>
  </si>
  <si>
    <t>East England</t>
  </si>
  <si>
    <t>London, England</t>
  </si>
  <si>
    <t>London, UK</t>
  </si>
  <si>
    <t>South East</t>
  </si>
  <si>
    <t>South West</t>
  </si>
  <si>
    <t>Wales</t>
  </si>
  <si>
    <r>
      <t>Study design (cross-section/ cohort/ RCT</t>
    </r>
    <r>
      <rPr>
        <sz val="11"/>
        <rFont val="等线"/>
        <charset val="134"/>
      </rPr>
      <t>）</t>
    </r>
  </si>
  <si>
    <t>Adelaide, Australia</t>
  </si>
  <si>
    <t xml:space="preserve"> Cohort Study</t>
  </si>
  <si>
    <t xml:space="preserve"> per 1 °C increase in maximum daily temperature</t>
  </si>
  <si>
    <t>0-5</t>
  </si>
  <si>
    <t>Inpatient for total renal disease</t>
  </si>
  <si>
    <t>hospitalization</t>
  </si>
  <si>
    <t>Impact of heat on emergency hospital admissions related to kidney diseases in Texas: Uncovering racial disparities</t>
  </si>
  <si>
    <t xml:space="preserve">kidney disease related emergency hospital admission </t>
  </si>
  <si>
    <t>Korea</t>
  </si>
  <si>
    <t>South Korea</t>
  </si>
  <si>
    <t>Korean Meteorological Administration</t>
  </si>
  <si>
    <t xml:space="preserve">1°C increase of ambient temperature </t>
  </si>
  <si>
    <t xml:space="preserve">hypotension hospital </t>
  </si>
  <si>
    <t>Vulnerabilities to temperature effects on acute myocardial infarction hospital admissions in South Korea</t>
  </si>
  <si>
    <t xml:space="preserve"> Bo Yeon Kwon, et</t>
  </si>
  <si>
    <t>179099(toatl)</t>
  </si>
  <si>
    <r>
      <t xml:space="preserve"> 1°C increased above threshold(28.5°C</t>
    </r>
    <r>
      <rPr>
        <sz val="11"/>
        <rFont val="宋体"/>
        <charset val="134"/>
      </rPr>
      <t>）</t>
    </r>
  </si>
  <si>
    <t>AMI hospital admissons</t>
  </si>
  <si>
    <t>Ambient temperature and hospital admissions for acute kidney injury: A time-series analysis</t>
  </si>
  <si>
    <t>Youn-Hee Lim</t>
  </si>
  <si>
    <t>1 °C increase in the ambient temperature above the threshold 28.8°C in warm season</t>
  </si>
  <si>
    <t xml:space="preserve"> AKI admissions</t>
  </si>
  <si>
    <t>1.009</t>
  </si>
  <si>
    <t>Attributable risks of hospitalizations for urologic diseases due to heat exposure in Queensland, Australia, 1995-2016</t>
  </si>
  <si>
    <t>Peng Lu</t>
  </si>
  <si>
    <t>60-74 y</t>
  </si>
  <si>
    <t>Queensland, Australia</t>
  </si>
  <si>
    <t>Queensland Government’s Department of Environment and Science</t>
  </si>
  <si>
    <t>1°C increase in daily mean temperatures</t>
  </si>
  <si>
    <t>0-10</t>
  </si>
  <si>
    <t xml:space="preserve">hospital admissions for urologic diseases </t>
  </si>
  <si>
    <t>1.039</t>
  </si>
  <si>
    <t>1.034</t>
  </si>
  <si>
    <t>1.044</t>
  </si>
  <si>
    <t>1.043</t>
  </si>
  <si>
    <t>1.038</t>
  </si>
  <si>
    <t>1.048</t>
  </si>
  <si>
    <t>Impact of temperature changes between neighboring days on COPD in a city in Northeast China</t>
  </si>
  <si>
    <t>Ma, Y</t>
  </si>
  <si>
    <t>Changchun, China</t>
  </si>
  <si>
    <t>Changchun Meteorological Bureau</t>
  </si>
  <si>
    <t>per 1 °C increase in temperature changes between neighboring days</t>
  </si>
  <si>
    <t xml:space="preserve">hospital admissions for chronic obstructive pulmonary disease </t>
  </si>
  <si>
    <t>High temperature and hospitalizations for cardiovascular and respiratory causes in 12 European cities</t>
  </si>
  <si>
    <t>Paola Michelozzi</t>
  </si>
  <si>
    <t>Barcelona, Spain</t>
  </si>
  <si>
    <t>897,535(&gt;=75 y)</t>
  </si>
  <si>
    <t>Assessment and Prevention of Acute Health Effects of Weather Conditions in Europe (PHEWE)</t>
  </si>
  <si>
    <t>1°C increase over 90th percentile of Tappmax</t>
  </si>
  <si>
    <t xml:space="preserve">Daily hospitalization admissions for respiratory causes  </t>
  </si>
  <si>
    <t>Budapest</t>
  </si>
  <si>
    <t>Budapest, Hungary</t>
  </si>
  <si>
    <t>Dublin</t>
  </si>
  <si>
    <t>Dublin, Ireland</t>
  </si>
  <si>
    <t>Ljubljana</t>
  </si>
  <si>
    <t>Slovenia</t>
  </si>
  <si>
    <t>Milan</t>
  </si>
  <si>
    <t>Milan, Italy</t>
  </si>
  <si>
    <t>Paris</t>
  </si>
  <si>
    <t>France</t>
  </si>
  <si>
    <t>Rome</t>
  </si>
  <si>
    <t>Rome, Italy</t>
  </si>
  <si>
    <t>Stockholm</t>
  </si>
  <si>
    <t>Sweden</t>
  </si>
  <si>
    <t>Turin</t>
  </si>
  <si>
    <t>Turin, Italy</t>
  </si>
  <si>
    <t>Valencia</t>
  </si>
  <si>
    <t>Valencia, Spain</t>
  </si>
  <si>
    <t>Mediterranean Europe</t>
  </si>
  <si>
    <t xml:space="preserve"> hospitalization admission for Cardiovascular causes </t>
  </si>
  <si>
    <t>North-Continental Europe</t>
  </si>
  <si>
    <t xml:space="preserve">hospitalization admission for Cerebrovascular causes </t>
  </si>
  <si>
    <t xml:space="preserve">hospitalization admission for Cerebrovascular causes  </t>
  </si>
  <si>
    <t>Ambient temperature variability and hospital admissions for pneumonia: A nationwide study</t>
  </si>
  <si>
    <t>Tian Y</t>
  </si>
  <si>
    <t xml:space="preserve"> &gt;4.2 million</t>
  </si>
  <si>
    <t>China Meteorological Data Sharing Service System</t>
  </si>
  <si>
    <t>1 °C increase in temperature variability</t>
  </si>
  <si>
    <t>daily hospital admissions for pneumonia</t>
  </si>
  <si>
    <t>The association between heat exposure and hospitalization for undernutrition in Brazil during 2000-2015: A nationwide case-crossover study</t>
  </si>
  <si>
    <t>Rongbin Xu</t>
  </si>
  <si>
    <t>≥ 80 y</t>
  </si>
  <si>
    <t>Brazil</t>
  </si>
  <si>
    <t>South America</t>
  </si>
  <si>
    <t>national meteorological dataset (0.25° × 0.25° resolution) developed by Xavier et al.</t>
  </si>
  <si>
    <t>Every 1°C increase in daily mean temperature </t>
  </si>
  <si>
    <t>hospitalizations for undernutrition</t>
  </si>
  <si>
    <t>65-74y</t>
  </si>
  <si>
    <t>Helsinki, Finland</t>
  </si>
  <si>
    <t>Per 1 °C increase</t>
  </si>
  <si>
    <t>Cardiovascular hospital admissions</t>
  </si>
  <si>
    <t>75+ y</t>
  </si>
  <si>
    <t>Cardiovascular diseases  mortality</t>
  </si>
  <si>
    <t>circulatory system diseases mortality</t>
  </si>
  <si>
    <t xml:space="preserve"> Cardiovascular mortality  </t>
  </si>
  <si>
    <t xml:space="preserve"> Cardiovascular mortality   </t>
  </si>
  <si>
    <t>stroke mortality</t>
  </si>
  <si>
    <t>ischemic heart disease mortality</t>
  </si>
  <si>
    <t>Myocardial Infarction mortality</t>
  </si>
  <si>
    <t>Chronic ischaemic heart disease mortality</t>
  </si>
  <si>
    <t>Atrial Fibrillation mortality</t>
  </si>
  <si>
    <t>Atrio-ventricular conduction disorders mortality</t>
  </si>
  <si>
    <t xml:space="preserve">Arrhythmias mortality </t>
  </si>
  <si>
    <t>Pulmonary embolism mortality</t>
  </si>
  <si>
    <t>Heart failure mortality</t>
  </si>
  <si>
    <t>Pulmonary heart disease mortality</t>
  </si>
  <si>
    <t>The impact of daily temperature on renal disease incidence: An ecological study</t>
  </si>
  <si>
    <t>Matthew Borg, et al. / 2019-04-01</t>
  </si>
  <si>
    <t>83,519 (total emergency department visits) 42,957 (total hospitalization)</t>
  </si>
  <si>
    <t>Bureau of Meteorology from a monitoring station in Kent Town (station number 023090) [37], Adelaide</t>
  </si>
  <si>
    <t>emergency department for total renal disease</t>
  </si>
  <si>
    <t>emergency</t>
  </si>
  <si>
    <t>The Effects of Temperature on Accident and Emergency Department Attendances in London: A Time-Series Regression Analysis</t>
  </si>
  <si>
    <t xml:space="preserve"> Ines Corcuera Hotz </t>
  </si>
  <si>
    <t>31 weather stations within the Greater London(GL) region</t>
  </si>
  <si>
    <t>Per 1 °C Increase in Mean Temperature</t>
  </si>
  <si>
    <t xml:space="preserve">all-cause emergency department Attendance </t>
  </si>
  <si>
    <t>≥ 75y</t>
  </si>
  <si>
    <t>High temperature effects on out-patient visits and hospital admissions in Chiang Mai, Thailand</t>
  </si>
  <si>
    <t>2002-2004</t>
  </si>
  <si>
    <t>Chiang Mai, Thailand</t>
  </si>
  <si>
    <t>0–1</t>
  </si>
  <si>
    <t>All-cause visits</t>
  </si>
  <si>
    <t xml:space="preserve">Cardiac emergency department attendance </t>
  </si>
  <si>
    <t xml:space="preserve">Respiratory emergency department attendance </t>
  </si>
  <si>
    <t xml:space="preserve">Fracture emergency department attendance </t>
  </si>
  <si>
    <t>Nareerut Pudpong, et</t>
  </si>
  <si>
    <t xml:space="preserve">two (inner city and suburban) monitoring stations </t>
  </si>
  <si>
    <t>per 1 °C increase in temperature above an identified threshold of 29 °C</t>
  </si>
  <si>
    <t>circulatory out-patient visits</t>
  </si>
  <si>
    <t>1.175</t>
  </si>
  <si>
    <t>1.032</t>
  </si>
  <si>
    <t>1.339</t>
  </si>
  <si>
    <t>per 1 °C increase in temperature above an identified threshold of 29 °C</t>
  </si>
  <si>
    <t>diabetic out-patient visits</t>
  </si>
  <si>
    <t>0.955</t>
  </si>
  <si>
    <t>1.446</t>
  </si>
  <si>
    <t>Respiratory diseases mortality</t>
  </si>
  <si>
    <t>respiratory system diseases mortality</t>
  </si>
  <si>
    <t xml:space="preserve">Respiratory mortality  </t>
  </si>
  <si>
    <t xml:space="preserve">Respiratory mortality   </t>
  </si>
  <si>
    <t>Respiratory system mortality</t>
  </si>
  <si>
    <t>75-84 y</t>
  </si>
  <si>
    <t>mental disorders mortality</t>
  </si>
  <si>
    <t>Ambient heat exposure after the rainy season is associated with an increased risk of Stroke</t>
  </si>
  <si>
    <t>Okayama, Japan</t>
  </si>
  <si>
    <t xml:space="preserve">1°C increase in temperature </t>
  </si>
  <si>
    <t>0-21</t>
  </si>
  <si>
    <t>cardiovascular diseases</t>
  </si>
  <si>
    <t>circulatory system diseases morbidity</t>
  </si>
  <si>
    <t>Long-term temperature variability and the incidence of cardiovascular diseases: A large, representative cohort study in China</t>
  </si>
  <si>
    <t>Yuting Kang</t>
  </si>
  <si>
    <t>23721(toatl)</t>
  </si>
  <si>
    <t>European Centre for Medium-Range Weather Forecasts</t>
  </si>
  <si>
    <t>1 °C increase in the daily mean ambient temperature</t>
  </si>
  <si>
    <t>HR</t>
  </si>
  <si>
    <t>High ambient temperature in summer and risk of stroke or transient ischemic attack: A national study in Israel</t>
  </si>
  <si>
    <t>Israel</t>
  </si>
  <si>
    <t>14 meteorological stations of the Israel Meteorological Service</t>
  </si>
  <si>
    <t>1 °C increase in mean ambient temperature in summer</t>
  </si>
  <si>
    <t>Intracerebral Hemorrhage</t>
  </si>
  <si>
    <t xml:space="preserve"> circulatory system diseases morbidity</t>
  </si>
  <si>
    <t>Ischemic stroke/ Transient Ischemic Attack</t>
  </si>
  <si>
    <t>Do Gender and Season Modify the Triggering Effect of Ambient Temperature on Ischemic Stroke?</t>
  </si>
  <si>
    <t>two monitoring stations located in the center of the largest city (Beer-Sheva) in the Negev area.</t>
  </si>
  <si>
    <t xml:space="preserve"> Increase in 5°C of moving average of ambient temperature in 96 hours.</t>
  </si>
  <si>
    <t>Ischemic Stroke</t>
  </si>
  <si>
    <t xml:space="preserve">OR </t>
  </si>
  <si>
    <t>Cardiac failure</t>
  </si>
  <si>
    <t xml:space="preserve">Ischaemic heart disease </t>
  </si>
  <si>
    <t xml:space="preserve">Arrhythmia </t>
  </si>
  <si>
    <t>Other Cerebrovascular disease</t>
  </si>
  <si>
    <t xml:space="preserve"> Hemorrhagic stroke</t>
  </si>
  <si>
    <t xml:space="preserve">Ischemic stroke </t>
  </si>
  <si>
    <t>Transient ischemic attack</t>
  </si>
  <si>
    <t>nervous system mortality</t>
  </si>
  <si>
    <t>Climate Zone</t>
  </si>
  <si>
    <t>Income Group</t>
  </si>
  <si>
    <t>Endocrine, nutritional and metabolic diseases mortality</t>
  </si>
  <si>
    <t>genitourinary system mortality</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</si>
</sst>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s>
  <fonts count="27">
    <font>
      <sz val="11"/>
      <color theme="1"/>
      <name val="宋体"/>
      <charset val="134"/>
      <scheme val="minor"/>
    </font>
    <font>
      <sz val="11"/>
      <name val="宋体"/>
      <charset val="134"/>
      <scheme val="minor"/>
    </font>
    <font>
      <sz val="1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微软雅黑"/>
      <charset val="134"/>
    </font>
    <font>
      <sz val="11"/>
      <name val="等线"/>
      <charset val="134"/>
    </font>
    <font>
      <sz val="11"/>
      <name val="宋体"/>
      <charset val="134"/>
    </font>
    <font>
      <b/>
      <sz val="9"/>
      <name val="宋体"/>
      <charset val="134"/>
    </font>
    <font>
      <sz val="9"/>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2" borderId="2">
      <alignment vertical="center"/>
    </xf>
    <xf numFmtId="0" fontId="5" fillId="0" borderId="0">
      <alignment vertical="center"/>
    </xf>
    <xf numFmtId="0" fontId="6" fillId="0" borderId="0">
      <alignment vertical="center"/>
    </xf>
    <xf numFmtId="0" fontId="7" fillId="0" borderId="0">
      <alignment vertical="center"/>
    </xf>
    <xf numFmtId="0" fontId="8" fillId="0" borderId="3">
      <alignment vertical="center"/>
    </xf>
    <xf numFmtId="0" fontId="9" fillId="0" borderId="3">
      <alignment vertical="center"/>
    </xf>
    <xf numFmtId="0" fontId="10" fillId="0" borderId="4">
      <alignment vertical="center"/>
    </xf>
    <xf numFmtId="0" fontId="10" fillId="0" borderId="0">
      <alignment vertical="center"/>
    </xf>
    <xf numFmtId="0" fontId="11" fillId="3" borderId="5">
      <alignment vertical="center"/>
    </xf>
    <xf numFmtId="0" fontId="12" fillId="4" borderId="6">
      <alignment vertical="center"/>
    </xf>
    <xf numFmtId="0" fontId="13" fillId="4" borderId="5">
      <alignment vertical="center"/>
    </xf>
    <xf numFmtId="0" fontId="14" fillId="5" borderId="7">
      <alignment vertical="center"/>
    </xf>
    <xf numFmtId="0" fontId="15" fillId="0" borderId="8">
      <alignment vertical="center"/>
    </xf>
    <xf numFmtId="0" fontId="16" fillId="0" borderId="9">
      <alignment vertical="center"/>
    </xf>
    <xf numFmtId="0" fontId="17" fillId="6" borderId="0">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1" fillId="11" borderId="0">
      <alignment vertical="center"/>
    </xf>
    <xf numFmtId="0" fontId="20" fillId="12" borderId="0">
      <alignment vertical="center"/>
    </xf>
    <xf numFmtId="0" fontId="20" fillId="13" borderId="0">
      <alignment vertical="center"/>
    </xf>
    <xf numFmtId="0" fontId="21" fillId="14" borderId="0">
      <alignment vertical="center"/>
    </xf>
    <xf numFmtId="0" fontId="21" fillId="15" borderId="0">
      <alignment vertical="center"/>
    </xf>
    <xf numFmtId="0" fontId="20" fillId="16" borderId="0">
      <alignment vertical="center"/>
    </xf>
    <xf numFmtId="0" fontId="20" fillId="17" borderId="0">
      <alignment vertical="center"/>
    </xf>
    <xf numFmtId="0" fontId="21" fillId="18" borderId="0">
      <alignment vertical="center"/>
    </xf>
    <xf numFmtId="0" fontId="21" fillId="19" borderId="0">
      <alignment vertical="center"/>
    </xf>
    <xf numFmtId="0" fontId="20" fillId="20" borderId="0">
      <alignment vertical="center"/>
    </xf>
    <xf numFmtId="0" fontId="20" fillId="21" borderId="0">
      <alignment vertical="center"/>
    </xf>
    <xf numFmtId="0" fontId="21" fillId="22" borderId="0">
      <alignment vertical="center"/>
    </xf>
    <xf numFmtId="0" fontId="21" fillId="23" borderId="0">
      <alignment vertical="center"/>
    </xf>
    <xf numFmtId="0" fontId="20" fillId="24" borderId="0">
      <alignment vertical="center"/>
    </xf>
    <xf numFmtId="0" fontId="20" fillId="25" borderId="0">
      <alignment vertical="center"/>
    </xf>
    <xf numFmtId="0" fontId="21" fillId="26" borderId="0">
      <alignment vertical="center"/>
    </xf>
    <xf numFmtId="0" fontId="21" fillId="27" borderId="0">
      <alignment vertical="center"/>
    </xf>
    <xf numFmtId="0" fontId="20" fillId="28" borderId="0">
      <alignment vertical="center"/>
    </xf>
    <xf numFmtId="0" fontId="20" fillId="29" borderId="0">
      <alignment vertical="center"/>
    </xf>
    <xf numFmtId="0" fontId="21" fillId="30" borderId="0">
      <alignment vertical="center"/>
    </xf>
    <xf numFmtId="0" fontId="21" fillId="31" borderId="0">
      <alignment vertical="center"/>
    </xf>
    <xf numFmtId="0" fontId="20" fillId="32" borderId="0">
      <alignment vertical="center"/>
    </xf>
  </cellStyleXfs>
  <cellXfs count="15">
    <xf numFmtId="0" fontId="0" fillId="0" borderId="0" xfId="0" applyAlignment="1">
      <alignment vertical="center"/>
    </xf>
    <xf numFmtId="0" fontId="1" fillId="0" borderId="0" xfId="0" applyFont="1" applyFill="1" applyAlignment="1">
      <alignment vertical="center"/>
    </xf>
    <xf numFmtId="0" fontId="2" fillId="0" borderId="0" xfId="0" applyFont="1" applyFill="1">
      <alignment vertical="center"/>
    </xf>
    <xf numFmtId="0" fontId="2" fillId="0" borderId="0" xfId="0" applyFont="1" applyFill="1" applyAlignment="1">
      <alignment vertical="center"/>
    </xf>
    <xf numFmtId="0" fontId="2" fillId="0" borderId="1" xfId="0" applyFont="1" applyFill="1" applyBorder="1" applyAlignment="1">
      <alignment horizontal="left" vertical="center"/>
    </xf>
    <xf numFmtId="0" fontId="2" fillId="0" borderId="0" xfId="0" applyFont="1" applyFill="1" applyAlignment="1">
      <alignment horizontal="left" vertical="center"/>
    </xf>
    <xf numFmtId="0" fontId="2" fillId="0" borderId="0" xfId="0" applyFont="1" applyFill="1" applyAlignment="1">
      <alignment horizontal="center" vertical="center"/>
    </xf>
    <xf numFmtId="0" fontId="2" fillId="0" borderId="0" xfId="0" applyFont="1" applyFill="1" applyAlignment="1">
      <alignment horizontal="right" vertical="center"/>
    </xf>
    <xf numFmtId="0" fontId="2" fillId="0" borderId="1" xfId="0" applyFont="1" applyFill="1" applyBorder="1" applyAlignment="1">
      <alignment horizontal="center" vertical="center"/>
    </xf>
    <xf numFmtId="176" fontId="2" fillId="0" borderId="1" xfId="0" applyNumberFormat="1" applyFont="1" applyFill="1" applyBorder="1" applyAlignment="1">
      <alignment horizontal="center" vertical="center"/>
    </xf>
    <xf numFmtId="176" fontId="2" fillId="0" borderId="0" xfId="0" applyNumberFormat="1" applyFont="1" applyFill="1" applyAlignment="1">
      <alignment horizontal="right" vertical="center"/>
    </xf>
    <xf numFmtId="0" fontId="2" fillId="0" borderId="0" xfId="0" applyFont="1" applyFill="1" applyAlignment="1">
      <alignment horizontal="right" vertical="center"/>
    </xf>
    <xf numFmtId="0" fontId="2" fillId="0" borderId="0" xfId="0" applyFont="1" applyFill="1" applyAlignment="1">
      <alignment vertical="center"/>
    </xf>
    <xf numFmtId="0" fontId="2" fillId="0" borderId="0" xfId="0" applyFont="1" applyFill="1">
      <alignment vertical="center"/>
    </xf>
    <xf numFmtId="0" fontId="2" fillId="0" borderId="0" xfId="0" applyFont="1" applyFill="1">
      <alignment vertical="center"/>
    </xf>
    <xf numFmtId="0" fontId="2" fillId="0" borderId="0" xfId="0" applyFont="1" applyFill="1" quotePrefix="1">
      <alignment vertical="center"/>
    </xf>
    <xf numFmtId="0" fontId="2" fillId="0" borderId="0" xfId="0" applyFont="1" applyFill="1" quotePrefix="1">
      <alignment vertical="center"/>
    </xf>
    <xf numFmtId="176" fontId="2" fillId="0" borderId="0" xfId="0" applyNumberFormat="1" applyFont="1" applyFill="1" applyAlignment="1" quotePrefix="1">
      <alignment horizontal="righ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externalLink" Target="externalLinks/externalLink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7668;&#20505;version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articles"/>
      <sheetName val="Sheet1"/>
    </sheetNames>
    <sheetDataSet>
      <sheetData sheetId="0"/>
      <sheetData sheetId="1">
        <row r="1">
          <cell r="A1" t="str">
            <v>不确定的可以空着其实</v>
          </cell>
          <cell r="B1" t="str">
            <v>Standardized Location</v>
          </cell>
          <cell r="C1" t="str">
            <v>Continent</v>
          </cell>
          <cell r="D1" t="str">
            <v>Refined Climate Zone</v>
          </cell>
          <cell r="E1" t="str">
            <v>Income Level</v>
          </cell>
        </row>
        <row r="2">
          <cell r="A2" t="str">
            <v>--- China ---</v>
          </cell>
          <cell r="B2" t="str">
            <v>  </v>
          </cell>
          <cell r="C2" t="str">
            <v>  </v>
          </cell>
          <cell r="D2" t="str">
            <v>  </v>
          </cell>
          <cell r="E2" t="str">
            <v>  </v>
          </cell>
        </row>
        <row r="3">
          <cell r="A3" t="str">
            <v>China</v>
          </cell>
          <cell r="B3" t="str">
            <v>China</v>
          </cell>
          <cell r="C3" t="str">
            <v>Asia</v>
          </cell>
          <cell r="D3" t="str">
            <v>Mixed</v>
          </cell>
          <cell r="E3" t="str">
            <v>Upper-middle income</v>
          </cell>
        </row>
        <row r="4">
          <cell r="A4" t="str">
            <v>China (National)</v>
          </cell>
          <cell r="B4" t="str">
            <v>China</v>
          </cell>
          <cell r="C4" t="str">
            <v>Asia</v>
          </cell>
          <cell r="D4" t="str">
            <v>Mixed</v>
          </cell>
          <cell r="E4" t="str">
            <v>Upper-middle income</v>
          </cell>
        </row>
        <row r="5">
          <cell r="A5" t="str">
            <v>Beijing, China</v>
          </cell>
          <cell r="B5" t="str">
            <v>Beijing, China</v>
          </cell>
          <cell r="C5" t="str">
            <v>Asia</v>
          </cell>
          <cell r="D5" t="str">
            <v>Continental Monsoon</v>
          </cell>
          <cell r="E5" t="str">
            <v>Upper-middle income</v>
          </cell>
        </row>
        <row r="6">
          <cell r="A6" t="str">
            <v>Tianjin, China</v>
          </cell>
          <cell r="B6" t="str">
            <v>Tianjin, China</v>
          </cell>
          <cell r="C6" t="str">
            <v>Asia</v>
          </cell>
          <cell r="D6" t="str">
            <v>Continental Monsoon</v>
          </cell>
          <cell r="E6" t="str">
            <v>Upper-middle income</v>
          </cell>
        </row>
        <row r="7">
          <cell r="A7" t="str">
            <v>Harbin, China</v>
          </cell>
          <cell r="B7" t="str">
            <v>Harbin, China</v>
          </cell>
          <cell r="C7" t="str">
            <v>Asia</v>
          </cell>
          <cell r="D7" t="str">
            <v>Continental Monsoon</v>
          </cell>
          <cell r="E7" t="str">
            <v>Upper-middle income</v>
          </cell>
        </row>
        <row r="8">
          <cell r="A8" t="str">
            <v>Changchun, China</v>
          </cell>
          <cell r="B8" t="str">
            <v>Changchun, China</v>
          </cell>
          <cell r="C8" t="str">
            <v>Asia</v>
          </cell>
          <cell r="D8" t="str">
            <v>Continental Monsoon</v>
          </cell>
          <cell r="E8" t="str">
            <v>Upper-middle income</v>
          </cell>
        </row>
        <row r="9">
          <cell r="A9" t="str">
            <v>Jinan, China</v>
          </cell>
          <cell r="B9" t="str">
            <v>Jinan, China</v>
          </cell>
          <cell r="C9" t="str">
            <v>Asia</v>
          </cell>
          <cell r="D9" t="str">
            <v>Continental Monsoon</v>
          </cell>
          <cell r="E9" t="str">
            <v>Upper-middle income</v>
          </cell>
        </row>
        <row r="10">
          <cell r="A10" t="str">
            <v>Zibo, China</v>
          </cell>
          <cell r="B10" t="str">
            <v>Zibo, China</v>
          </cell>
          <cell r="C10" t="str">
            <v>Asia</v>
          </cell>
          <cell r="D10" t="str">
            <v>Continental Monsoon</v>
          </cell>
          <cell r="E10" t="str">
            <v>Upper-middle income</v>
          </cell>
        </row>
        <row r="11">
          <cell r="A11" t="str">
            <v>Shandong, China</v>
          </cell>
          <cell r="B11" t="str">
            <v>Shandong Province</v>
          </cell>
          <cell r="C11" t="str">
            <v>Asia</v>
          </cell>
          <cell r="D11" t="str">
            <v>Continental Monsoon</v>
          </cell>
          <cell r="E11" t="str">
            <v>Upper-middle income</v>
          </cell>
        </row>
        <row r="12">
          <cell r="A12" t="str">
            <v>Shanghai, China</v>
          </cell>
          <cell r="B12" t="str">
            <v>Shanghai, China</v>
          </cell>
          <cell r="C12" t="str">
            <v>Asia</v>
          </cell>
          <cell r="D12" t="str">
            <v>Humid Subtropical</v>
          </cell>
          <cell r="E12" t="str">
            <v>Upper-middle income</v>
          </cell>
        </row>
        <row r="13">
          <cell r="A13" t="str">
            <v>Shenzhen, China</v>
          </cell>
          <cell r="B13" t="str">
            <v>Shenzhen, China</v>
          </cell>
          <cell r="C13" t="str">
            <v>Asia</v>
          </cell>
          <cell r="D13" t="str">
            <v>Humid Subtropical</v>
          </cell>
          <cell r="E13" t="str">
            <v>Upper-middle income</v>
          </cell>
        </row>
        <row r="14">
          <cell r="A14" t="str">
            <v>Guangzhou, China</v>
          </cell>
          <cell r="B14" t="str">
            <v>Guangzhou, China</v>
          </cell>
          <cell r="C14" t="str">
            <v>Asia</v>
          </cell>
          <cell r="D14" t="str">
            <v>Humid Subtropical</v>
          </cell>
          <cell r="E14" t="str">
            <v>Upper-middle income</v>
          </cell>
        </row>
        <row r="15">
          <cell r="A15" t="str">
            <v>Hong Kong, China</v>
          </cell>
          <cell r="B15" t="str">
            <v>Hong Kong, China</v>
          </cell>
          <cell r="C15" t="str">
            <v>Asia</v>
          </cell>
          <cell r="D15" t="str">
            <v>Humid Subtropical</v>
          </cell>
          <cell r="E15" t="str">
            <v>High income</v>
          </cell>
        </row>
        <row r="16">
          <cell r="A16" t="str">
            <v>Nanjing, China</v>
          </cell>
          <cell r="B16" t="str">
            <v>Nanjing, China</v>
          </cell>
          <cell r="C16" t="str">
            <v>Asia</v>
          </cell>
          <cell r="D16" t="str">
            <v>Humid Subtropical</v>
          </cell>
          <cell r="E16" t="str">
            <v>Upper-middle income</v>
          </cell>
        </row>
        <row r="17">
          <cell r="A17" t="str">
            <v>Suzhou, China</v>
          </cell>
          <cell r="B17" t="str">
            <v>Suzhou, China</v>
          </cell>
          <cell r="C17" t="str">
            <v>Asia</v>
          </cell>
          <cell r="D17" t="str">
            <v>Humid Subtropical</v>
          </cell>
          <cell r="E17" t="str">
            <v>Upper-middle income</v>
          </cell>
        </row>
        <row r="18">
          <cell r="A18" t="str">
            <v>Hefei, China</v>
          </cell>
          <cell r="B18" t="str">
            <v>Hefei, China</v>
          </cell>
          <cell r="C18" t="str">
            <v>Asia</v>
          </cell>
          <cell r="D18" t="str">
            <v>Humid Subtropical</v>
          </cell>
          <cell r="E18" t="str">
            <v>Upper-middle income</v>
          </cell>
        </row>
        <row r="19">
          <cell r="A19" t="str">
            <v>Wuxi,China</v>
          </cell>
          <cell r="B19" t="str">
            <v>Wuxi, China</v>
          </cell>
          <cell r="C19" t="str">
            <v>Asia</v>
          </cell>
          <cell r="D19" t="str">
            <v>Humid Subtropical</v>
          </cell>
          <cell r="E19" t="str">
            <v>Upper-middle income</v>
          </cell>
        </row>
        <row r="20">
          <cell r="A20" t="str">
            <v>Yancheng, China</v>
          </cell>
          <cell r="B20" t="str">
            <v>Yancheng, China</v>
          </cell>
          <cell r="C20" t="str">
            <v>Asia</v>
          </cell>
          <cell r="D20" t="str">
            <v>Humid Subtropical</v>
          </cell>
          <cell r="E20" t="str">
            <v>Upper-middle income</v>
          </cell>
        </row>
        <row r="21">
          <cell r="A21" t="str">
            <v>Ningbo, China</v>
          </cell>
          <cell r="B21" t="str">
            <v>Ningbo, China</v>
          </cell>
          <cell r="C21" t="str">
            <v>Asia</v>
          </cell>
          <cell r="D21" t="str">
            <v>Humid Subtropical</v>
          </cell>
          <cell r="E21" t="str">
            <v>Upper-middle income</v>
          </cell>
        </row>
        <row r="22">
          <cell r="A22" t="str">
            <v>Jiangsu, China</v>
          </cell>
          <cell r="B22" t="str">
            <v>Jiangsu Province</v>
          </cell>
          <cell r="C22" t="str">
            <v>Asia</v>
          </cell>
          <cell r="D22" t="str">
            <v>Humid Subtropical</v>
          </cell>
          <cell r="E22" t="str">
            <v>Upper-middle income</v>
          </cell>
        </row>
        <row r="23">
          <cell r="A23" t="str">
            <v>Yuxi, China</v>
          </cell>
          <cell r="B23" t="str">
            <v>Yuxi, China</v>
          </cell>
          <cell r="C23" t="str">
            <v>Asia</v>
          </cell>
          <cell r="D23" t="str">
            <v>Humid Subtropical</v>
          </cell>
          <cell r="E23" t="str">
            <v>Upper-middle income</v>
          </cell>
        </row>
        <row r="24">
          <cell r="A24" t="str">
            <v>Guiyang, China</v>
          </cell>
          <cell r="B24" t="str">
            <v>Guiyang, China</v>
          </cell>
          <cell r="C24" t="str">
            <v>Asia</v>
          </cell>
          <cell r="D24" t="str">
            <v>Humid Subtropical</v>
          </cell>
          <cell r="E24" t="str">
            <v>Upper-middle income</v>
          </cell>
        </row>
        <row r="25">
          <cell r="A25" t="str">
            <v>Panzhihua, China</v>
          </cell>
          <cell r="B25" t="str">
            <v>Panzhihua, China</v>
          </cell>
          <cell r="C25" t="str">
            <v>Asia</v>
          </cell>
          <cell r="D25" t="str">
            <v>Humid Subtropical</v>
          </cell>
          <cell r="E25" t="str">
            <v>Upper-middle income</v>
          </cell>
        </row>
        <row r="26">
          <cell r="A26" t="str">
            <v>Lanzhou, China</v>
          </cell>
          <cell r="B26" t="str">
            <v>Lanzhou, China</v>
          </cell>
          <cell r="C26" t="str">
            <v>Asia</v>
          </cell>
          <cell r="D26" t="str">
            <v>Semi-arid</v>
          </cell>
          <cell r="E26" t="str">
            <v>Upper-middle income</v>
          </cell>
        </row>
        <row r="27">
          <cell r="A27" t="str">
            <v>Zhangye, China</v>
          </cell>
          <cell r="B27" t="str">
            <v>Zhangye, China</v>
          </cell>
          <cell r="C27" t="str">
            <v>Asia</v>
          </cell>
          <cell r="D27" t="str">
            <v>Arid</v>
          </cell>
          <cell r="E27" t="str">
            <v>Upper-middle income</v>
          </cell>
        </row>
        <row r="28">
          <cell r="A28" t="str">
            <v>Jiuquan, China</v>
          </cell>
          <cell r="B28" t="str">
            <v>Jiuquan, China</v>
          </cell>
          <cell r="C28" t="str">
            <v>Asia</v>
          </cell>
          <cell r="D28" t="str">
            <v>Arid</v>
          </cell>
          <cell r="E28" t="str">
            <v>Upper-middle income</v>
          </cell>
        </row>
        <row r="29">
          <cell r="A29" t="str">
            <v>Wuwei, China</v>
          </cell>
          <cell r="B29" t="str">
            <v>Wuwei, China</v>
          </cell>
          <cell r="C29" t="str">
            <v>Asia</v>
          </cell>
          <cell r="D29" t="str">
            <v>Arid</v>
          </cell>
          <cell r="E29" t="str">
            <v>Upper-middle income</v>
          </cell>
        </row>
        <row r="30">
          <cell r="A30" t="str">
            <v>Longnan, China</v>
          </cell>
          <cell r="B30" t="str">
            <v>Longnan, China</v>
          </cell>
          <cell r="C30" t="str">
            <v>Asia</v>
          </cell>
          <cell r="D30" t="str">
            <v>Humid Subtropical</v>
          </cell>
          <cell r="E30" t="str">
            <v>Upper-middle income</v>
          </cell>
        </row>
        <row r="31">
          <cell r="A31" t="str">
            <v>Chengguan</v>
          </cell>
          <cell r="B31" t="str">
            <v>Lhasa, China</v>
          </cell>
          <cell r="C31" t="str">
            <v>Asia</v>
          </cell>
          <cell r="D31" t="str">
            <v>Continental Monsoon</v>
          </cell>
          <cell r="E31" t="str">
            <v>Upper-middle income</v>
          </cell>
        </row>
        <row r="32">
          <cell r="A32" t="str">
            <v>Naidong</v>
          </cell>
          <cell r="B32" t="str">
            <v>Tibet, China</v>
          </cell>
          <cell r="C32" t="str">
            <v>Asia</v>
          </cell>
          <cell r="D32" t="str">
            <v>Continental Monsoon</v>
          </cell>
          <cell r="E32" t="str">
            <v>Upper-middle income</v>
          </cell>
        </row>
        <row r="33">
          <cell r="A33" t="str">
            <v>Jiangzi</v>
          </cell>
          <cell r="B33" t="str">
            <v>Tibet, China</v>
          </cell>
          <cell r="C33" t="str">
            <v>Asia</v>
          </cell>
          <cell r="D33" t="str">
            <v>Continental Monsoon</v>
          </cell>
          <cell r="E33" t="str">
            <v>Upper-middle income</v>
          </cell>
        </row>
        <row r="34">
          <cell r="A34" t="str">
            <v>Taiwan, China</v>
          </cell>
          <cell r="B34" t="str">
            <v>Taiwan, China</v>
          </cell>
          <cell r="C34" t="str">
            <v>Asia</v>
          </cell>
          <cell r="D34" t="str">
            <v>Humid Subtropical</v>
          </cell>
          <cell r="E34" t="str">
            <v>Upper-middle income</v>
          </cell>
        </row>
        <row r="35">
          <cell r="A35" t="str">
            <v>--- Korea ---</v>
          </cell>
          <cell r="B35" t="str">
            <v>  </v>
          </cell>
          <cell r="C35" t="str">
            <v>  </v>
          </cell>
          <cell r="D35" t="str">
            <v>  </v>
          </cell>
          <cell r="E35" t="str">
            <v>  </v>
          </cell>
        </row>
        <row r="36">
          <cell r="A36" t="str">
            <v>Korea</v>
          </cell>
          <cell r="B36" t="str">
            <v>South Korea</v>
          </cell>
          <cell r="C36" t="str">
            <v>Asia</v>
          </cell>
          <cell r="D36" t="str">
            <v>Continental Monsoon</v>
          </cell>
          <cell r="E36" t="str">
            <v>High income</v>
          </cell>
        </row>
        <row r="37">
          <cell r="A37" t="str">
            <v>South Korea</v>
          </cell>
          <cell r="B37" t="str">
            <v>South Korea</v>
          </cell>
          <cell r="C37" t="str">
            <v>Asia</v>
          </cell>
          <cell r="D37" t="str">
            <v>Continental Monsoon</v>
          </cell>
          <cell r="E37" t="str">
            <v>High income</v>
          </cell>
        </row>
        <row r="38">
          <cell r="A38" t="str">
            <v>Seoul, Korea</v>
          </cell>
          <cell r="B38" t="str">
            <v>Seoul, South Korea</v>
          </cell>
          <cell r="C38" t="str">
            <v>Asia</v>
          </cell>
          <cell r="D38" t="str">
            <v>Continental Monsoon</v>
          </cell>
          <cell r="E38" t="str">
            <v>High income</v>
          </cell>
        </row>
        <row r="39">
          <cell r="A39" t="str">
            <v>Incheon</v>
          </cell>
          <cell r="B39" t="str">
            <v>Incheon, South Korea</v>
          </cell>
          <cell r="C39" t="str">
            <v>Asia</v>
          </cell>
          <cell r="D39" t="str">
            <v>Continental Monsoon</v>
          </cell>
          <cell r="E39" t="str">
            <v>High income</v>
          </cell>
        </row>
        <row r="40">
          <cell r="A40" t="str">
            <v>Daegu</v>
          </cell>
          <cell r="B40" t="str">
            <v>Daegu, South Korea</v>
          </cell>
          <cell r="C40" t="str">
            <v>Asia</v>
          </cell>
          <cell r="D40" t="str">
            <v>Humid Subtropical</v>
          </cell>
          <cell r="E40" t="str">
            <v>High income</v>
          </cell>
        </row>
        <row r="41">
          <cell r="A41" t="str">
            <v>Busan</v>
          </cell>
          <cell r="B41" t="str">
            <v>Busan, South Korea</v>
          </cell>
          <cell r="C41" t="str">
            <v>Asia</v>
          </cell>
          <cell r="D41" t="str">
            <v>Humid Subtropical</v>
          </cell>
          <cell r="E41" t="str">
            <v>High income</v>
          </cell>
        </row>
        <row r="42">
          <cell r="A42" t="str">
            <v>--- Other Asia ---</v>
          </cell>
          <cell r="B42" t="str">
            <v>  </v>
          </cell>
          <cell r="C42" t="str">
            <v>  </v>
          </cell>
          <cell r="D42" t="str">
            <v>  </v>
          </cell>
          <cell r="E42" t="str">
            <v>  </v>
          </cell>
        </row>
        <row r="43">
          <cell r="A43" t="str">
            <v>Japan</v>
          </cell>
          <cell r="B43" t="str">
            <v>Japan</v>
          </cell>
          <cell r="C43" t="str">
            <v>Asia</v>
          </cell>
          <cell r="D43" t="str">
            <v>Humid Subtropical</v>
          </cell>
          <cell r="E43" t="str">
            <v>High income</v>
          </cell>
        </row>
        <row r="44">
          <cell r="A44" t="str">
            <v>Okayama, Japan</v>
          </cell>
          <cell r="B44" t="str">
            <v>Okayama, Japan</v>
          </cell>
          <cell r="C44" t="str">
            <v>Asia</v>
          </cell>
          <cell r="D44" t="str">
            <v>Humid Subtropical</v>
          </cell>
          <cell r="E44" t="str">
            <v>High income</v>
          </cell>
        </row>
        <row r="45">
          <cell r="A45" t="str">
            <v>Fukuoka, Japan</v>
          </cell>
          <cell r="B45" t="str">
            <v>Fukuoka, Japan</v>
          </cell>
          <cell r="C45" t="str">
            <v>Asia</v>
          </cell>
          <cell r="D45" t="str">
            <v>Humid Subtropical</v>
          </cell>
          <cell r="E45" t="str">
            <v>High income</v>
          </cell>
        </row>
        <row r="46">
          <cell r="A46" t="str">
            <v>Tehran, Iran</v>
          </cell>
          <cell r="B46" t="str">
            <v>Tehran, Iran</v>
          </cell>
          <cell r="C46" t="str">
            <v>Asia</v>
          </cell>
          <cell r="D46" t="str">
            <v>Semi-arid</v>
          </cell>
          <cell r="E46" t="str">
            <v>Upper-middle income</v>
          </cell>
        </row>
        <row r="47">
          <cell r="A47" t="str">
            <v>Rasht, Iran</v>
          </cell>
          <cell r="B47" t="str">
            <v>Rasht, Iran</v>
          </cell>
          <cell r="C47" t="str">
            <v>Asia</v>
          </cell>
          <cell r="D47" t="str">
            <v>Humid Subtropical</v>
          </cell>
          <cell r="E47" t="str">
            <v>Upper-middle income</v>
          </cell>
        </row>
        <row r="48">
          <cell r="A48" t="str">
            <v>Khorasan, Iran</v>
          </cell>
          <cell r="B48" t="str">
            <v>Khorasan, Iran</v>
          </cell>
          <cell r="C48" t="str">
            <v>Asia</v>
          </cell>
          <cell r="D48" t="str">
            <v>Semi-arid</v>
          </cell>
          <cell r="E48" t="str">
            <v>Upper-middle income</v>
          </cell>
        </row>
        <row r="49">
          <cell r="A49" t="str">
            <v>Iran</v>
          </cell>
          <cell r="B49" t="str">
            <v>Iran</v>
          </cell>
          <cell r="C49" t="str">
            <v>Asia</v>
          </cell>
          <cell r="D49" t="str">
            <v>Arid</v>
          </cell>
          <cell r="E49" t="str">
            <v>Upper-middle income</v>
          </cell>
        </row>
        <row r="50">
          <cell r="A50" t="str">
            <v>Kuwait</v>
          </cell>
          <cell r="B50" t="str">
            <v>Kuwait</v>
          </cell>
          <cell r="C50" t="str">
            <v>Asia</v>
          </cell>
          <cell r="D50" t="str">
            <v>Arid</v>
          </cell>
          <cell r="E50" t="str">
            <v>High income</v>
          </cell>
        </row>
        <row r="51">
          <cell r="A51" t="str">
            <v>Israel</v>
          </cell>
          <cell r="B51" t="str">
            <v>Israel</v>
          </cell>
          <cell r="C51" t="str">
            <v>Asia</v>
          </cell>
          <cell r="D51" t="str">
            <v>Mediterranean</v>
          </cell>
          <cell r="E51" t="str">
            <v>High income</v>
          </cell>
        </row>
        <row r="52">
          <cell r="A52" t="str">
            <v>Istanbul, Turkey</v>
          </cell>
          <cell r="B52" t="str">
            <v>Istanbul, Turkey</v>
          </cell>
          <cell r="C52" t="str">
            <v>Asia</v>
          </cell>
          <cell r="D52" t="str">
            <v>Mediterranean</v>
          </cell>
          <cell r="E52" t="str">
            <v>Upper-middle income</v>
          </cell>
        </row>
        <row r="53">
          <cell r="A53" t="str">
            <v>Beirut, Mediterranean</v>
          </cell>
          <cell r="B53" t="str">
            <v>Beirut, Lebanon</v>
          </cell>
          <cell r="C53" t="str">
            <v>Asia</v>
          </cell>
          <cell r="D53" t="str">
            <v>Mediterranean</v>
          </cell>
          <cell r="E53" t="str">
            <v>Lower-middle income</v>
          </cell>
        </row>
        <row r="54">
          <cell r="A54" t="str">
            <v>Hanoi, Vietnam</v>
          </cell>
          <cell r="B54" t="str">
            <v>Hanoi, Vietnam</v>
          </cell>
          <cell r="C54" t="str">
            <v>Asia</v>
          </cell>
          <cell r="D54" t="str">
            <v>Humid Subtropical</v>
          </cell>
          <cell r="E54" t="str">
            <v>Lower-middle income</v>
          </cell>
        </row>
        <row r="55">
          <cell r="A55" t="str">
            <v>Ho Chi Minh City, Vietnam</v>
          </cell>
          <cell r="B55" t="str">
            <v>Ho Chi Minh City</v>
          </cell>
          <cell r="C55" t="str">
            <v>Asia</v>
          </cell>
          <cell r="D55" t="str">
            <v>Tropical</v>
          </cell>
          <cell r="E55" t="str">
            <v>Lower-middle income</v>
          </cell>
        </row>
        <row r="56">
          <cell r="A56" t="str">
            <v>Chiang Mai, Thailand</v>
          </cell>
          <cell r="B56" t="str">
            <v>Chiang Mai, Thailand</v>
          </cell>
          <cell r="C56" t="str">
            <v>Asia</v>
          </cell>
          <cell r="D56" t="str">
            <v>Tropical</v>
          </cell>
          <cell r="E56" t="str">
            <v>Upper-middle income</v>
          </cell>
        </row>
        <row r="57">
          <cell r="A57" t="str">
            <v>Vadu HDSS, India</v>
          </cell>
          <cell r="B57" t="str">
            <v>Pune, India</v>
          </cell>
          <cell r="C57" t="str">
            <v>Asia</v>
          </cell>
          <cell r="D57" t="str">
            <v>Semi-arid</v>
          </cell>
          <cell r="E57" t="str">
            <v>Lower-middle income</v>
          </cell>
        </row>
        <row r="58">
          <cell r="A58" t="str">
            <v>Varanasi, India</v>
          </cell>
          <cell r="B58" t="str">
            <v>Varanasi, India</v>
          </cell>
          <cell r="C58" t="str">
            <v>Asia</v>
          </cell>
          <cell r="D58" t="str">
            <v>Humid Subtropical</v>
          </cell>
          <cell r="E58" t="str">
            <v>Lower-middle income</v>
          </cell>
        </row>
        <row r="59">
          <cell r="A59" t="str">
            <v>Bangladesh, Matlab</v>
          </cell>
          <cell r="B59" t="str">
            <v>Matlab, Bangladesh</v>
          </cell>
          <cell r="C59" t="str">
            <v>Asia</v>
          </cell>
          <cell r="D59" t="str">
            <v>Tropical</v>
          </cell>
          <cell r="E59" t="str">
            <v>Lower-middle income</v>
          </cell>
        </row>
        <row r="60">
          <cell r="A60" t="str">
            <v>Yakutsk, Russia</v>
          </cell>
          <cell r="B60" t="str">
            <v>Yakutsk, Russia</v>
          </cell>
          <cell r="C60" t="str">
            <v>Asia</v>
          </cell>
          <cell r="D60" t="str">
            <v>Humid Continental</v>
          </cell>
          <cell r="E60" t="str">
            <v>Upper-middle income</v>
          </cell>
        </row>
        <row r="61">
          <cell r="A61" t="str">
            <v>--- Europe ---</v>
          </cell>
          <cell r="B61" t="str">
            <v>  </v>
          </cell>
          <cell r="C61" t="str">
            <v>  </v>
          </cell>
          <cell r="D61" t="str">
            <v>  </v>
          </cell>
          <cell r="E61" t="str">
            <v>  </v>
          </cell>
        </row>
        <row r="62">
          <cell r="A62" t="str">
            <v>London, England</v>
          </cell>
          <cell r="B62" t="str">
            <v>London, UK</v>
          </cell>
          <cell r="C62" t="str">
            <v>Europe</v>
          </cell>
          <cell r="D62" t="str">
            <v>Oceanic</v>
          </cell>
          <cell r="E62" t="str">
            <v>High income</v>
          </cell>
        </row>
        <row r="63">
          <cell r="A63" t="str">
            <v>England</v>
          </cell>
          <cell r="B63" t="str">
            <v>UK</v>
          </cell>
          <cell r="C63" t="str">
            <v>Europe</v>
          </cell>
          <cell r="D63" t="str">
            <v>Oceanic</v>
          </cell>
          <cell r="E63" t="str">
            <v>High income</v>
          </cell>
        </row>
        <row r="64">
          <cell r="A64" t="str">
            <v>England and Wales</v>
          </cell>
          <cell r="B64" t="str">
            <v>UK</v>
          </cell>
          <cell r="C64" t="str">
            <v>Europe</v>
          </cell>
          <cell r="D64" t="str">
            <v>Oceanic</v>
          </cell>
          <cell r="E64" t="str">
            <v>High income</v>
          </cell>
        </row>
        <row r="65">
          <cell r="A65" t="str">
            <v>West Midlands</v>
          </cell>
          <cell r="B65" t="str">
            <v>UK</v>
          </cell>
          <cell r="C65" t="str">
            <v>Europe</v>
          </cell>
          <cell r="D65" t="str">
            <v>Oceanic</v>
          </cell>
          <cell r="E65" t="str">
            <v>High income</v>
          </cell>
        </row>
        <row r="66">
          <cell r="A66" t="str">
            <v>Stockholm, Sweden</v>
          </cell>
          <cell r="B66" t="str">
            <v>Stockholm, Sweden</v>
          </cell>
          <cell r="C66" t="str">
            <v>Europe</v>
          </cell>
          <cell r="D66" t="str">
            <v>Humid Continental</v>
          </cell>
          <cell r="E66" t="str">
            <v>High income</v>
          </cell>
        </row>
        <row r="67">
          <cell r="A67" t="str">
            <v>Helsinki, Finland</v>
          </cell>
          <cell r="B67" t="str">
            <v>Helsinki, Finland</v>
          </cell>
          <cell r="C67" t="str">
            <v>Europe</v>
          </cell>
          <cell r="D67" t="str">
            <v>Humid Continental</v>
          </cell>
          <cell r="E67" t="str">
            <v>High income</v>
          </cell>
        </row>
        <row r="68">
          <cell r="A68" t="str">
            <v>Oulu, Finland</v>
          </cell>
          <cell r="B68" t="str">
            <v>Oulu, Finland</v>
          </cell>
          <cell r="C68" t="str">
            <v>Europe</v>
          </cell>
          <cell r="D68" t="str">
            <v>Humid Continental</v>
          </cell>
          <cell r="E68" t="str">
            <v>High income</v>
          </cell>
        </row>
        <row r="69">
          <cell r="A69" t="str">
            <v>Rome, Italy</v>
          </cell>
          <cell r="B69" t="str">
            <v>Rome, Italy</v>
          </cell>
          <cell r="C69" t="str">
            <v>Europe</v>
          </cell>
          <cell r="D69" t="str">
            <v>Mediterranean</v>
          </cell>
          <cell r="E69" t="str">
            <v>High income</v>
          </cell>
        </row>
        <row r="70">
          <cell r="A70" t="str">
            <v>Milan</v>
          </cell>
          <cell r="B70" t="str">
            <v>Milan, Italy</v>
          </cell>
          <cell r="C70" t="str">
            <v>Europe</v>
          </cell>
          <cell r="D70" t="str">
            <v>Humid Subtropical</v>
          </cell>
          <cell r="E70" t="str">
            <v>High income</v>
          </cell>
        </row>
        <row r="71">
          <cell r="A71" t="str">
            <v>Turin, Italy</v>
          </cell>
          <cell r="B71" t="str">
            <v>Turin, Italy</v>
          </cell>
          <cell r="C71" t="str">
            <v>Europe</v>
          </cell>
          <cell r="D71" t="str">
            <v>Humid Subtropical</v>
          </cell>
          <cell r="E71" t="str">
            <v>High income</v>
          </cell>
        </row>
        <row r="72">
          <cell r="A72" t="str">
            <v>Italy</v>
          </cell>
          <cell r="B72" t="str">
            <v>Italy</v>
          </cell>
          <cell r="C72" t="str">
            <v>Europe</v>
          </cell>
          <cell r="D72" t="str">
            <v>Mediterranean</v>
          </cell>
          <cell r="E72" t="str">
            <v>High income</v>
          </cell>
        </row>
        <row r="73">
          <cell r="A73" t="str">
            <v>Barcelona, Spain</v>
          </cell>
          <cell r="B73" t="str">
            <v>Barcelona, Spain</v>
          </cell>
          <cell r="C73" t="str">
            <v>Europe</v>
          </cell>
          <cell r="D73" t="str">
            <v>Mediterranean</v>
          </cell>
          <cell r="E73" t="str">
            <v>High income</v>
          </cell>
        </row>
        <row r="74">
          <cell r="A74" t="str">
            <v>Valencia</v>
          </cell>
          <cell r="B74" t="str">
            <v>Valencia, Spain</v>
          </cell>
          <cell r="C74" t="str">
            <v>Europe</v>
          </cell>
          <cell r="D74" t="str">
            <v>Mediterranean</v>
          </cell>
          <cell r="E74" t="str">
            <v>High income</v>
          </cell>
        </row>
        <row r="75">
          <cell r="A75" t="str">
            <v>Spain</v>
          </cell>
          <cell r="B75" t="str">
            <v>Spain</v>
          </cell>
          <cell r="C75" t="str">
            <v>Europe</v>
          </cell>
          <cell r="D75" t="str">
            <v>Mediterranean</v>
          </cell>
          <cell r="E75" t="str">
            <v>High income</v>
          </cell>
        </row>
        <row r="76">
          <cell r="A76" t="str">
            <v>Spain and the Balearic Islands</v>
          </cell>
          <cell r="B76" t="str">
            <v>Spain</v>
          </cell>
          <cell r="C76" t="str">
            <v>Europe</v>
          </cell>
          <cell r="D76" t="str">
            <v>Mediterranean</v>
          </cell>
          <cell r="E76" t="str">
            <v>High income</v>
          </cell>
        </row>
        <row r="77">
          <cell r="A77" t="str">
            <v>Lisbon, Portugal</v>
          </cell>
          <cell r="B77" t="str">
            <v>Lisbon, Portugal</v>
          </cell>
          <cell r="C77" t="str">
            <v>Europe</v>
          </cell>
          <cell r="D77" t="str">
            <v>Mediterranean</v>
          </cell>
          <cell r="E77" t="str">
            <v>High income</v>
          </cell>
        </row>
        <row r="78">
          <cell r="A78" t="str">
            <v>Oporto, Portugal</v>
          </cell>
          <cell r="B78" t="str">
            <v>Porto, Portugal</v>
          </cell>
          <cell r="C78" t="str">
            <v>Europe</v>
          </cell>
          <cell r="D78" t="str">
            <v>Mediterranean</v>
          </cell>
          <cell r="E78" t="str">
            <v>High income</v>
          </cell>
        </row>
        <row r="79">
          <cell r="A79" t="str">
            <v>Zurich</v>
          </cell>
          <cell r="B79" t="str">
            <v>Switzerland</v>
          </cell>
          <cell r="C79" t="str">
            <v>Europe</v>
          </cell>
          <cell r="D79" t="str">
            <v>Oceanic</v>
          </cell>
          <cell r="E79" t="str">
            <v>High income</v>
          </cell>
        </row>
        <row r="80">
          <cell r="A80" t="str">
            <v>Bern, Switzerland</v>
          </cell>
          <cell r="B80" t="str">
            <v>Switzerland</v>
          </cell>
          <cell r="C80" t="str">
            <v>Europe</v>
          </cell>
          <cell r="D80" t="str">
            <v>Oceanic</v>
          </cell>
          <cell r="E80" t="str">
            <v>High income</v>
          </cell>
        </row>
        <row r="81">
          <cell r="A81" t="str">
            <v>Netherlands</v>
          </cell>
          <cell r="B81" t="str">
            <v>Netherlands</v>
          </cell>
          <cell r="C81" t="str">
            <v>Europe</v>
          </cell>
          <cell r="D81" t="str">
            <v>Oceanic</v>
          </cell>
          <cell r="E81" t="str">
            <v>High income</v>
          </cell>
        </row>
        <row r="82">
          <cell r="A82" t="str">
            <v>Belgium</v>
          </cell>
          <cell r="B82" t="str">
            <v>Belgium</v>
          </cell>
          <cell r="C82" t="str">
            <v>Europe</v>
          </cell>
          <cell r="D82" t="str">
            <v>Oceanic</v>
          </cell>
          <cell r="E82" t="str">
            <v>High income</v>
          </cell>
        </row>
        <row r="83">
          <cell r="A83" t="str">
            <v>Flanders, northern Belgium</v>
          </cell>
          <cell r="B83" t="str">
            <v>Belgium</v>
          </cell>
          <cell r="C83" t="str">
            <v>Europe</v>
          </cell>
          <cell r="D83" t="str">
            <v>Oceanic</v>
          </cell>
          <cell r="E83" t="str">
            <v>High income</v>
          </cell>
        </row>
        <row r="84">
          <cell r="A84" t="str">
            <v>Augsburg, Germany</v>
          </cell>
          <cell r="B84" t="str">
            <v>Augsburg, Germany</v>
          </cell>
          <cell r="C84" t="str">
            <v>Europe</v>
          </cell>
          <cell r="D84" t="str">
            <v>Oceanic</v>
          </cell>
          <cell r="E84" t="str">
            <v>High income</v>
          </cell>
        </row>
        <row r="85">
          <cell r="A85" t="str">
            <v>Budapest</v>
          </cell>
          <cell r="B85" t="str">
            <v>Budapest, Hungary</v>
          </cell>
          <cell r="C85" t="str">
            <v>Europe</v>
          </cell>
          <cell r="D85" t="str">
            <v>Humid Continental</v>
          </cell>
          <cell r="E85" t="str">
            <v>High income</v>
          </cell>
        </row>
        <row r="86">
          <cell r="A86" t="str">
            <v>Dublin</v>
          </cell>
          <cell r="B86" t="str">
            <v>Dublin, Ireland</v>
          </cell>
          <cell r="C86" t="str">
            <v>Europe</v>
          </cell>
          <cell r="D86" t="str">
            <v>Oceanic</v>
          </cell>
          <cell r="E86" t="str">
            <v>High income</v>
          </cell>
        </row>
        <row r="87">
          <cell r="A87" t="str">
            <v>Czechia</v>
          </cell>
          <cell r="B87" t="str">
            <v>Czech Republic</v>
          </cell>
          <cell r="C87" t="str">
            <v>Europe</v>
          </cell>
          <cell r="D87" t="str">
            <v>Humid Continental</v>
          </cell>
          <cell r="E87" t="str">
            <v>High income</v>
          </cell>
        </row>
        <row r="88">
          <cell r="A88" t="str">
            <v>Lithuania</v>
          </cell>
          <cell r="B88" t="str">
            <v>Lithuania</v>
          </cell>
          <cell r="C88" t="str">
            <v>Europe</v>
          </cell>
          <cell r="D88" t="str">
            <v>Humid Continental</v>
          </cell>
          <cell r="E88" t="str">
            <v>High income</v>
          </cell>
        </row>
        <row r="89">
          <cell r="A89" t="str">
            <v>--- North America ---</v>
          </cell>
          <cell r="B89" t="str">
            <v>  </v>
          </cell>
          <cell r="C89" t="str">
            <v>  </v>
          </cell>
          <cell r="D89" t="str">
            <v>  </v>
          </cell>
          <cell r="E89" t="str">
            <v>  </v>
          </cell>
        </row>
        <row r="90">
          <cell r="A90" t="str">
            <v>New York, USA</v>
          </cell>
          <cell r="B90" t="str">
            <v>New York, USA</v>
          </cell>
          <cell r="C90" t="str">
            <v>North America</v>
          </cell>
          <cell r="D90" t="str">
            <v>Humid Continental</v>
          </cell>
          <cell r="E90" t="str">
            <v>High income</v>
          </cell>
        </row>
        <row r="91">
          <cell r="A91" t="str">
            <v>Washington, USA</v>
          </cell>
          <cell r="B91" t="str">
            <v>Washington DC, USA</v>
          </cell>
          <cell r="C91" t="str">
            <v>North America</v>
          </cell>
          <cell r="D91" t="str">
            <v>Humid Subtropical</v>
          </cell>
          <cell r="E91" t="str">
            <v>High income</v>
          </cell>
        </row>
        <row r="92">
          <cell r="A92" t="str">
            <v>Pennsylvania, USA</v>
          </cell>
          <cell r="B92" t="str">
            <v>Pennsylvania, USA</v>
          </cell>
          <cell r="C92" t="str">
            <v>North America</v>
          </cell>
          <cell r="D92" t="str">
            <v>Humid Continental</v>
          </cell>
          <cell r="E92" t="str">
            <v>High income</v>
          </cell>
        </row>
        <row r="93">
          <cell r="A93" t="str">
            <v>Maryland, USA</v>
          </cell>
          <cell r="B93" t="str">
            <v>Maryland, USA</v>
          </cell>
          <cell r="C93" t="str">
            <v>North America</v>
          </cell>
          <cell r="D93" t="str">
            <v>Humid Subtropical</v>
          </cell>
          <cell r="E93" t="str">
            <v>High income</v>
          </cell>
        </row>
        <row r="94">
          <cell r="A94" t="str">
            <v>Texas, USA</v>
          </cell>
          <cell r="B94" t="str">
            <v>Texas, USA</v>
          </cell>
          <cell r="C94" t="str">
            <v>North America</v>
          </cell>
          <cell r="D94" t="str">
            <v>Humid Subtropical</v>
          </cell>
          <cell r="E94" t="str">
            <v>High income</v>
          </cell>
        </row>
        <row r="95">
          <cell r="A95" t="str">
            <v>Arizona desert, USA</v>
          </cell>
          <cell r="B95" t="str">
            <v>Arizona, USA</v>
          </cell>
          <cell r="C95" t="str">
            <v>North America</v>
          </cell>
          <cell r="D95" t="str">
            <v>Arid</v>
          </cell>
          <cell r="E95" t="str">
            <v>High income</v>
          </cell>
        </row>
        <row r="96">
          <cell r="A96" t="str">
            <v>North Carolina, USA</v>
          </cell>
          <cell r="B96" t="str">
            <v>North Carolina, USA</v>
          </cell>
          <cell r="C96" t="str">
            <v>North America</v>
          </cell>
          <cell r="D96" t="str">
            <v>Humid Subtropical</v>
          </cell>
          <cell r="E96" t="str">
            <v>High income</v>
          </cell>
        </row>
        <row r="97">
          <cell r="A97" t="str">
            <v>Los Angels, USA</v>
          </cell>
          <cell r="B97" t="str">
            <v>Los Angeles, USA</v>
          </cell>
          <cell r="C97" t="str">
            <v>North America</v>
          </cell>
          <cell r="D97" t="str">
            <v>Mediterranean</v>
          </cell>
          <cell r="E97" t="str">
            <v>High income</v>
          </cell>
        </row>
        <row r="98">
          <cell r="A98" t="str">
            <v>USA</v>
          </cell>
          <cell r="B98" t="str">
            <v>USA</v>
          </cell>
          <cell r="C98" t="str">
            <v>North America</v>
          </cell>
          <cell r="D98" t="str">
            <v>Mixed</v>
          </cell>
          <cell r="E98" t="str">
            <v>High income</v>
          </cell>
        </row>
        <row r="99">
          <cell r="A99" t="str">
            <v>Ontario, Canada</v>
          </cell>
          <cell r="B99" t="str">
            <v>Ontario, Canada</v>
          </cell>
          <cell r="C99" t="str">
            <v>North America</v>
          </cell>
          <cell r="D99" t="str">
            <v>Humid Continental</v>
          </cell>
          <cell r="E99" t="str">
            <v>High income</v>
          </cell>
        </row>
        <row r="100">
          <cell r="A100" t="str">
            <v>Quebec, Canada</v>
          </cell>
          <cell r="B100" t="str">
            <v>Quebec, Canada</v>
          </cell>
          <cell r="C100" t="str">
            <v>North America</v>
          </cell>
          <cell r="D100" t="str">
            <v>Humid Continental</v>
          </cell>
          <cell r="E100" t="str">
            <v>High income</v>
          </cell>
        </row>
        <row r="101">
          <cell r="A101" t="str">
            <v>Mexico</v>
          </cell>
          <cell r="B101" t="str">
            <v>Mexico</v>
          </cell>
          <cell r="C101" t="str">
            <v>North America</v>
          </cell>
          <cell r="D101" t="str">
            <v>Mixed</v>
          </cell>
          <cell r="E101" t="str">
            <v>Upper-middle income</v>
          </cell>
        </row>
        <row r="102">
          <cell r="A102" t="str">
            <v>--- Oceania ---</v>
          </cell>
          <cell r="B102" t="str">
            <v>  </v>
          </cell>
          <cell r="C102" t="str">
            <v>  </v>
          </cell>
          <cell r="D102" t="str">
            <v>  </v>
          </cell>
          <cell r="E102" t="str">
            <v>  </v>
          </cell>
        </row>
        <row r="103">
          <cell r="A103" t="str">
            <v>Adelaide, Australia</v>
          </cell>
          <cell r="B103" t="str">
            <v>Adelaide, Australia</v>
          </cell>
          <cell r="C103" t="str">
            <v>Oceania</v>
          </cell>
          <cell r="D103" t="str">
            <v>Mediterranean</v>
          </cell>
          <cell r="E103" t="str">
            <v>High income</v>
          </cell>
        </row>
        <row r="104">
          <cell r="A104" t="str">
            <v>Perth, Australia</v>
          </cell>
          <cell r="B104" t="str">
            <v>Perth, Australia</v>
          </cell>
          <cell r="C104" t="str">
            <v>Oceania</v>
          </cell>
          <cell r="D104" t="str">
            <v>Mediterranean</v>
          </cell>
          <cell r="E104" t="str">
            <v>High income</v>
          </cell>
        </row>
        <row r="105">
          <cell r="A105" t="str">
            <v>Melbourne</v>
          </cell>
          <cell r="B105" t="str">
            <v>Melbourne, Australia</v>
          </cell>
          <cell r="C105" t="str">
            <v>Oceania</v>
          </cell>
          <cell r="D105" t="str">
            <v>Oceanic</v>
          </cell>
          <cell r="E105" t="str">
            <v>High income</v>
          </cell>
        </row>
        <row r="106">
          <cell r="A106" t="str">
            <v>Brisbane, Australia</v>
          </cell>
          <cell r="B106" t="str">
            <v>Brisbane, Australia</v>
          </cell>
          <cell r="C106" t="str">
            <v>Oceania</v>
          </cell>
          <cell r="D106" t="str">
            <v>Humid Subtropical</v>
          </cell>
          <cell r="E106" t="str">
            <v>High income</v>
          </cell>
        </row>
        <row r="107">
          <cell r="A107" t="str">
            <v>Sydney</v>
          </cell>
          <cell r="B107" t="str">
            <v>Sydney, Australia</v>
          </cell>
          <cell r="C107" t="str">
            <v>Oceania</v>
          </cell>
          <cell r="D107" t="str">
            <v>Humid Subtropical</v>
          </cell>
          <cell r="E107" t="str">
            <v>High income</v>
          </cell>
        </row>
        <row r="108">
          <cell r="A108" t="str">
            <v>Queensland, Australia</v>
          </cell>
          <cell r="B108" t="str">
            <v>Queensland, Australia</v>
          </cell>
          <cell r="C108" t="str">
            <v>Oceania</v>
          </cell>
          <cell r="D108" t="str">
            <v>Humid Subtropical</v>
          </cell>
          <cell r="E108" t="str">
            <v>High income</v>
          </cell>
        </row>
        <row r="109">
          <cell r="A109" t="str">
            <v>--- Other ---</v>
          </cell>
          <cell r="B109" t="str">
            <v>  </v>
          </cell>
          <cell r="C109" t="str">
            <v>  </v>
          </cell>
          <cell r="D109" t="str">
            <v>  </v>
          </cell>
          <cell r="E109" t="str">
            <v>  </v>
          </cell>
        </row>
        <row r="110">
          <cell r="A110" t="str">
            <v>São Paulo, Brazil</v>
          </cell>
          <cell r="B110" t="str">
            <v>São Paulo, Brazil</v>
          </cell>
          <cell r="C110" t="str">
            <v>South America</v>
          </cell>
          <cell r="D110" t="str">
            <v>Humid Subtropical</v>
          </cell>
          <cell r="E110" t="str">
            <v>Upper-middle income</v>
          </cell>
        </row>
        <row r="111">
          <cell r="A111" t="str">
            <v>Curitiba, Brazil</v>
          </cell>
          <cell r="B111" t="str">
            <v>Curitiba, Brazil</v>
          </cell>
          <cell r="C111" t="str">
            <v>South America</v>
          </cell>
          <cell r="D111" t="str">
            <v>Humid Subtropical</v>
          </cell>
          <cell r="E111" t="str">
            <v>Upper-middle income</v>
          </cell>
        </row>
        <row r="112">
          <cell r="A112" t="str">
            <v>Rio de Janeiro</v>
          </cell>
          <cell r="B112" t="str">
            <v>Rio de Janeiro</v>
          </cell>
          <cell r="C112" t="str">
            <v>South America</v>
          </cell>
          <cell r="D112" t="str">
            <v>Tropical</v>
          </cell>
          <cell r="E112" t="str">
            <v>Upper-middle income</v>
          </cell>
        </row>
        <row r="113">
          <cell r="A113" t="str">
            <v>Manaus</v>
          </cell>
          <cell r="B113" t="str">
            <v>Manaus, Brazil</v>
          </cell>
          <cell r="C113" t="str">
            <v>South America</v>
          </cell>
          <cell r="D113" t="str">
            <v>Tropical</v>
          </cell>
          <cell r="E113" t="str">
            <v>Upper-middle income</v>
          </cell>
        </row>
        <row r="114">
          <cell r="A114" t="str">
            <v>Brazil</v>
          </cell>
          <cell r="B114" t="str">
            <v>Brazil</v>
          </cell>
          <cell r="C114" t="str">
            <v>South America</v>
          </cell>
          <cell r="D114" t="str">
            <v>Tropical</v>
          </cell>
          <cell r="E114" t="str">
            <v>Upper-middle income</v>
          </cell>
        </row>
        <row r="115">
          <cell r="A115" t="str">
            <v>Santiago</v>
          </cell>
          <cell r="B115" t="str">
            <v>Santiago, Chile</v>
          </cell>
          <cell r="C115" t="str">
            <v>South America</v>
          </cell>
          <cell r="D115" t="str">
            <v>Mediterranean</v>
          </cell>
          <cell r="E115" t="str">
            <v>High income</v>
          </cell>
        </row>
        <row r="116">
          <cell r="A116" t="str">
            <v>Tunis, Tunisia</v>
          </cell>
          <cell r="B116" t="str">
            <v>Tunis, Tunisia</v>
          </cell>
          <cell r="C116" t="str">
            <v>Africa</v>
          </cell>
          <cell r="D116" t="str">
            <v>Mediterranean</v>
          </cell>
          <cell r="E116" t="str">
            <v>Lower-middle income</v>
          </cell>
        </row>
        <row r="117">
          <cell r="A117" t="str">
            <v>Northern Ghana</v>
          </cell>
          <cell r="B117" t="str">
            <v>Northern Ghana</v>
          </cell>
          <cell r="C117" t="str">
            <v>Africa</v>
          </cell>
          <cell r="D117" t="str">
            <v>Tropical</v>
          </cell>
          <cell r="E117" t="str">
            <v>Lower-middle income</v>
          </cell>
        </row>
        <row r="118">
          <cell r="A118" t="str">
            <v>Nouna area, Burkina Faso</v>
          </cell>
          <cell r="B118" t="str">
            <v>Nouna, Burkina Faso</v>
          </cell>
          <cell r="C118" t="str">
            <v>Africa</v>
          </cell>
          <cell r="D118" t="str">
            <v>Semi-arid</v>
          </cell>
          <cell r="E118" t="str">
            <v>Low income</v>
          </cell>
        </row>
        <row r="119">
          <cell r="A119" t="str">
            <v>Pooled</v>
          </cell>
          <cell r="B119" t="str">
            <v>  </v>
          </cell>
          <cell r="C119" t="str">
            <v>  </v>
          </cell>
          <cell r="D119" t="str">
            <v>  </v>
          </cell>
          <cell r="E119" t="str">
            <v>  </v>
          </cell>
        </row>
        <row r="120">
          <cell r="A120" t="str">
            <v>Urban heat island area</v>
          </cell>
          <cell r="B120" t="str">
            <v>  </v>
          </cell>
          <cell r="C120" t="str">
            <v>  </v>
          </cell>
          <cell r="D120" t="str">
            <v>  </v>
          </cell>
          <cell r="E120" t="str">
            <v>  </v>
          </cell>
        </row>
        <row r="121">
          <cell r="A121" t="str">
            <v>Non-urban heat island area</v>
          </cell>
          <cell r="B121" t="str">
            <v>  </v>
          </cell>
          <cell r="C121" t="str">
            <v>  </v>
          </cell>
          <cell r="D121" t="str">
            <v>  </v>
          </cell>
          <cell r="E121" t="str">
            <v>  </v>
          </cell>
        </row>
        <row r="122">
          <cell r="A122" t="str">
            <v>Low Greenness</v>
          </cell>
          <cell r="B122" t="str">
            <v>  </v>
          </cell>
          <cell r="C122" t="str">
            <v>  </v>
          </cell>
          <cell r="D122" t="str">
            <v>  </v>
          </cell>
          <cell r="E122" t="str">
            <v>  </v>
          </cell>
        </row>
        <row r="123">
          <cell r="A123" t="str">
            <v>High Greenness</v>
          </cell>
          <cell r="B123" t="str">
            <v>  </v>
          </cell>
          <cell r="C123" t="str">
            <v>  </v>
          </cell>
          <cell r="D123" t="str">
            <v>  </v>
          </cell>
          <cell r="E123" t="str">
            <v>  </v>
          </cell>
        </row>
        <row r="124">
          <cell r="A124" t="str">
            <v>owest quintile of SEP-Index</v>
          </cell>
          <cell r="B124" t="str">
            <v>  </v>
          </cell>
          <cell r="C124" t="str">
            <v>  </v>
          </cell>
          <cell r="D124" t="str">
            <v>  </v>
          </cell>
          <cell r="E124" t="str">
            <v>  </v>
          </cell>
        </row>
        <row r="125">
          <cell r="A125" t="str">
            <v>National climate zone</v>
          </cell>
          <cell r="B125" t="str">
            <v>  </v>
          </cell>
          <cell r="C125" t="str">
            <v>  </v>
          </cell>
          <cell r="D125" t="str">
            <v>  </v>
          </cell>
          <cell r="E125" t="str">
            <v>  </v>
          </cell>
        </row>
        <row r="126">
          <cell r="A126" t="str">
            <v>Subtropical climate zone</v>
          </cell>
          <cell r="B126" t="str">
            <v>  </v>
          </cell>
          <cell r="C126" t="str">
            <v>  </v>
          </cell>
          <cell r="D126" t="str">
            <v>Humid Subtropical</v>
          </cell>
          <cell r="E126" t="str">
            <v>  </v>
          </cell>
        </row>
        <row r="127">
          <cell r="A127" t="str">
            <v>Temperate climate zone</v>
          </cell>
          <cell r="B127" t="str">
            <v>  </v>
          </cell>
          <cell r="C127" t="str">
            <v>  </v>
          </cell>
          <cell r="D127" t="str">
            <v>Oceanic</v>
          </cell>
          <cell r="E127" t="str">
            <v>  </v>
          </cell>
        </row>
        <row r="128">
          <cell r="A128" t="str">
            <v>Multi-country</v>
          </cell>
          <cell r="B128" t="str">
            <v>  </v>
          </cell>
          <cell r="C128" t="str">
            <v>  </v>
          </cell>
          <cell r="D128" t="str">
            <v>  </v>
          </cell>
          <cell r="E128" t="str">
            <v>  </v>
          </cell>
        </row>
        <row r="129">
          <cell r="A129" t="str">
            <v>--- Europe (Regions) ---</v>
          </cell>
          <cell r="B129" t="str">
            <v>  </v>
          </cell>
          <cell r="C129" t="str">
            <v>  </v>
          </cell>
          <cell r="D129" t="str">
            <v>  </v>
          </cell>
          <cell r="E129" t="str">
            <v>  </v>
          </cell>
        </row>
        <row r="130">
          <cell r="A130" t="str">
            <v>Mediterranean</v>
          </cell>
          <cell r="B130" t="str">
            <v>Europe (South)</v>
          </cell>
          <cell r="C130" t="str">
            <v>Europe</v>
          </cell>
          <cell r="D130" t="str">
            <v>Mediterranean</v>
          </cell>
          <cell r="E130" t="str">
            <v>High income</v>
          </cell>
        </row>
        <row r="131">
          <cell r="A131" t="str">
            <v>Mediterranean Europe</v>
          </cell>
          <cell r="B131" t="str">
            <v>Europe (South)</v>
          </cell>
          <cell r="C131" t="str">
            <v>Europe</v>
          </cell>
          <cell r="D131" t="str">
            <v>Mediterranean</v>
          </cell>
          <cell r="E131" t="str">
            <v>High income</v>
          </cell>
        </row>
        <row r="132">
          <cell r="A132" t="str">
            <v>North-Continental Cities</v>
          </cell>
          <cell r="B132" t="str">
            <v>Europe (North/Central)</v>
          </cell>
          <cell r="C132" t="str">
            <v>Europe</v>
          </cell>
          <cell r="D132" t="str">
            <v>Humid Continental</v>
          </cell>
          <cell r="E132" t="str">
            <v>High income</v>
          </cell>
        </row>
        <row r="133">
          <cell r="A133" t="str">
            <v>North-Continental Europe</v>
          </cell>
          <cell r="B133" t="str">
            <v>Europe (North/Central)</v>
          </cell>
          <cell r="C133" t="str">
            <v>Europe</v>
          </cell>
          <cell r="D133" t="str">
            <v>Humid Continental</v>
          </cell>
          <cell r="E133" t="str">
            <v>High income</v>
          </cell>
        </row>
        <row r="134">
          <cell r="A134" t="str">
            <v>Lake Geneva</v>
          </cell>
          <cell r="B134" t="str">
            <v>Switzerland</v>
          </cell>
          <cell r="C134" t="str">
            <v>Europe</v>
          </cell>
          <cell r="D134" t="str">
            <v>Oceanic</v>
          </cell>
          <cell r="E134" t="str">
            <v>High income</v>
          </cell>
        </row>
        <row r="135">
          <cell r="A135" t="str">
            <v>Ticino</v>
          </cell>
          <cell r="B135" t="str">
            <v>Switzerland</v>
          </cell>
          <cell r="C135" t="str">
            <v>Europe</v>
          </cell>
          <cell r="D135" t="str">
            <v>Humid Subtropical</v>
          </cell>
          <cell r="E135" t="str">
            <v>High income</v>
          </cell>
        </row>
        <row r="136">
          <cell r="A136" t="str">
            <v>Swiss</v>
          </cell>
          <cell r="B136" t="str">
            <v>Switzerland</v>
          </cell>
          <cell r="C136" t="str">
            <v>Europe</v>
          </cell>
          <cell r="D136" t="str">
            <v>Oceanic</v>
          </cell>
          <cell r="E136" t="str">
            <v>High income</v>
          </cell>
        </row>
        <row r="137">
          <cell r="A137" t="str">
            <v>Switzerland</v>
          </cell>
          <cell r="B137" t="str">
            <v>Switzerland</v>
          </cell>
          <cell r="C137" t="str">
            <v>Europe</v>
          </cell>
          <cell r="D137" t="str">
            <v>Oceanic</v>
          </cell>
          <cell r="E137" t="str">
            <v>High income</v>
          </cell>
        </row>
        <row r="138">
          <cell r="A138" t="str">
            <v>Ljubljana</v>
          </cell>
          <cell r="B138" t="str">
            <v>Slovenia</v>
          </cell>
          <cell r="C138" t="str">
            <v>Europe</v>
          </cell>
          <cell r="D138" t="str">
            <v>Humid Continental</v>
          </cell>
          <cell r="E138" t="str">
            <v>High income</v>
          </cell>
        </row>
        <row r="139">
          <cell r="A139" t="str">
            <v>Paris</v>
          </cell>
          <cell r="B139" t="str">
            <v>France</v>
          </cell>
          <cell r="C139" t="str">
            <v>Europe</v>
          </cell>
          <cell r="D139" t="str">
            <v>Oceanic</v>
          </cell>
          <cell r="E139" t="str">
            <v>High income</v>
          </cell>
        </row>
        <row r="140">
          <cell r="A140" t="str">
            <v>Stockholm</v>
          </cell>
          <cell r="B140" t="str">
            <v>Sweden</v>
          </cell>
          <cell r="C140" t="str">
            <v>Europe</v>
          </cell>
          <cell r="D140" t="str">
            <v>Humid Continental</v>
          </cell>
          <cell r="E140" t="str">
            <v>High income</v>
          </cell>
        </row>
        <row r="141">
          <cell r="A141" t="str">
            <v>Sweden</v>
          </cell>
          <cell r="B141" t="str">
            <v>Sweden</v>
          </cell>
          <cell r="C141" t="str">
            <v>Europe</v>
          </cell>
          <cell r="D141" t="str">
            <v>Humid Continental</v>
          </cell>
          <cell r="E141" t="str">
            <v>High income</v>
          </cell>
        </row>
        <row r="142">
          <cell r="A142" t="str">
            <v>Catalonia, Spain</v>
          </cell>
          <cell r="B142" t="str">
            <v>Spain</v>
          </cell>
          <cell r="C142" t="str">
            <v>Europe</v>
          </cell>
          <cell r="D142" t="str">
            <v>Mediterranean</v>
          </cell>
          <cell r="E142" t="str">
            <v>High income</v>
          </cell>
        </row>
        <row r="143">
          <cell r="A143" t="str">
            <v>Bologna Local Health Trust, Italy</v>
          </cell>
          <cell r="B143" t="str">
            <v>Italy</v>
          </cell>
          <cell r="C143" t="str">
            <v>Europe</v>
          </cell>
          <cell r="D143" t="str">
            <v>Humid Subtropical</v>
          </cell>
          <cell r="E143" t="str">
            <v>High income</v>
          </cell>
        </row>
        <row r="144">
          <cell r="A144" t="str">
            <v>--- UK Regions ---</v>
          </cell>
          <cell r="B144" t="str">
            <v>  </v>
          </cell>
          <cell r="C144" t="str">
            <v>  </v>
          </cell>
          <cell r="D144" t="str">
            <v>  </v>
          </cell>
          <cell r="E144" t="str">
            <v>  </v>
          </cell>
        </row>
        <row r="145">
          <cell r="A145" t="str">
            <v>Midland</v>
          </cell>
          <cell r="B145" t="str">
            <v>UK</v>
          </cell>
          <cell r="C145" t="str">
            <v>Europe</v>
          </cell>
          <cell r="D145" t="str">
            <v>Oceanic</v>
          </cell>
          <cell r="E145" t="str">
            <v>High income</v>
          </cell>
        </row>
        <row r="146">
          <cell r="A146" t="str">
            <v>North East</v>
          </cell>
          <cell r="B146" t="str">
            <v>UK</v>
          </cell>
          <cell r="C146" t="str">
            <v>Europe</v>
          </cell>
          <cell r="D146" t="str">
            <v>Oceanic</v>
          </cell>
          <cell r="E146" t="str">
            <v>High income</v>
          </cell>
        </row>
        <row r="147">
          <cell r="A147" t="str">
            <v>North West</v>
          </cell>
          <cell r="B147" t="str">
            <v>UK</v>
          </cell>
          <cell r="C147" t="str">
            <v>Europe</v>
          </cell>
          <cell r="D147" t="str">
            <v>Oceanic</v>
          </cell>
          <cell r="E147" t="str">
            <v>High income</v>
          </cell>
        </row>
        <row r="148">
          <cell r="A148" t="str">
            <v>Yorks and Hum</v>
          </cell>
          <cell r="B148" t="str">
            <v>UK</v>
          </cell>
          <cell r="C148" t="str">
            <v>Europe</v>
          </cell>
          <cell r="D148" t="str">
            <v>Oceanic</v>
          </cell>
          <cell r="E148" t="str">
            <v>High income</v>
          </cell>
        </row>
        <row r="149">
          <cell r="A149" t="str">
            <v>East Midlands</v>
          </cell>
          <cell r="B149" t="str">
            <v>UK</v>
          </cell>
          <cell r="C149" t="str">
            <v>Europe</v>
          </cell>
          <cell r="D149" t="str">
            <v>Oceanic</v>
          </cell>
          <cell r="E149" t="str">
            <v>High income</v>
          </cell>
        </row>
        <row r="150">
          <cell r="A150" t="str">
            <v>South East</v>
          </cell>
          <cell r="B150" t="str">
            <v>UK</v>
          </cell>
          <cell r="C150" t="str">
            <v>Europe</v>
          </cell>
          <cell r="D150" t="str">
            <v>Oceanic</v>
          </cell>
          <cell r="E150" t="str">
            <v>High income</v>
          </cell>
        </row>
        <row r="151">
          <cell r="A151" t="str">
            <v>South West</v>
          </cell>
          <cell r="B151" t="str">
            <v>UK</v>
          </cell>
          <cell r="C151" t="str">
            <v>Europe</v>
          </cell>
          <cell r="D151" t="str">
            <v>Oceanic</v>
          </cell>
          <cell r="E151" t="str">
            <v>High income</v>
          </cell>
        </row>
        <row r="152">
          <cell r="A152" t="str">
            <v>Wales</v>
          </cell>
          <cell r="B152" t="str">
            <v>UK</v>
          </cell>
          <cell r="C152" t="str">
            <v>Europe</v>
          </cell>
          <cell r="D152" t="str">
            <v>Oceanic</v>
          </cell>
          <cell r="E152" t="str">
            <v>High income</v>
          </cell>
        </row>
        <row r="153">
          <cell r="A153" t="str">
            <v>Scotland</v>
          </cell>
          <cell r="B153" t="str">
            <v>UK</v>
          </cell>
          <cell r="C153" t="str">
            <v>Europe</v>
          </cell>
          <cell r="D153" t="str">
            <v>Oceanic</v>
          </cell>
          <cell r="E153" t="str">
            <v>High income</v>
          </cell>
        </row>
        <row r="154">
          <cell r="A154" t="str">
            <v>--- Asia (China Specific) ---</v>
          </cell>
          <cell r="B154" t="str">
            <v>  </v>
          </cell>
          <cell r="C154" t="str">
            <v>  </v>
          </cell>
          <cell r="D154" t="str">
            <v>  </v>
          </cell>
          <cell r="E154" t="str">
            <v>  </v>
          </cell>
        </row>
        <row r="155">
          <cell r="A155" t="str">
            <v>China</v>
          </cell>
          <cell r="B155" t="str">
            <v>China</v>
          </cell>
          <cell r="C155" t="str">
            <v>Asia</v>
          </cell>
          <cell r="D155" t="str">
            <v>  </v>
          </cell>
          <cell r="E155" t="str">
            <v>Upper-middle income</v>
          </cell>
        </row>
        <row r="156">
          <cell r="A156" t="str">
            <v>Hulunbuir, China</v>
          </cell>
          <cell r="B156" t="str">
            <v>Hulunbuir, China</v>
          </cell>
          <cell r="C156" t="str">
            <v>Asia</v>
          </cell>
          <cell r="D156" t="str">
            <v>Continental Monsoon</v>
          </cell>
          <cell r="E156" t="str">
            <v>Upper-middle income</v>
          </cell>
        </row>
        <row r="157">
          <cell r="A157" t="str">
            <v>Gansu, China</v>
          </cell>
          <cell r="B157" t="str">
            <v>Gansu, China</v>
          </cell>
          <cell r="C157" t="str">
            <v>Asia</v>
          </cell>
          <cell r="D157" t="str">
            <v>Semi-arid</v>
          </cell>
          <cell r="E157" t="str">
            <v>Upper-middle income</v>
          </cell>
        </row>
        <row r="158">
          <cell r="A158" t="str">
            <v>Dingxi, China</v>
          </cell>
          <cell r="B158" t="str">
            <v>Dingxi, China</v>
          </cell>
          <cell r="C158" t="str">
            <v>Asia</v>
          </cell>
          <cell r="D158" t="str">
            <v>Semi-arid</v>
          </cell>
          <cell r="E158" t="str">
            <v>Upper-middle income</v>
          </cell>
        </row>
        <row r="159">
          <cell r="A159" t="str">
            <v>Tianshui, China</v>
          </cell>
          <cell r="B159" t="str">
            <v>Tianshui, China</v>
          </cell>
          <cell r="C159" t="str">
            <v>Asia</v>
          </cell>
          <cell r="D159" t="str">
            <v>Semi-arid</v>
          </cell>
          <cell r="E159" t="str">
            <v>Upper-middle income</v>
          </cell>
        </row>
        <row r="160">
          <cell r="A160" t="str">
            <v>Nanxiong, China</v>
          </cell>
          <cell r="B160" t="str">
            <v>Nanxiong, China</v>
          </cell>
          <cell r="C160" t="str">
            <v>Asia</v>
          </cell>
          <cell r="D160" t="str">
            <v>Humid Subtropical</v>
          </cell>
          <cell r="E160" t="str">
            <v>Upper-middle income</v>
          </cell>
        </row>
        <row r="161">
          <cell r="A161" t="str">
            <v>Taishan, China</v>
          </cell>
          <cell r="B161" t="str">
            <v>Taishan, China</v>
          </cell>
          <cell r="C161" t="str">
            <v>Asia</v>
          </cell>
          <cell r="D161" t="str">
            <v>Humid Subtropical</v>
          </cell>
          <cell r="E161" t="str">
            <v>Upper-middle income</v>
          </cell>
        </row>
        <row r="162">
          <cell r="A162" t="str">
            <v>Anhui, China</v>
          </cell>
          <cell r="B162" t="str">
            <v>Anhui, China</v>
          </cell>
          <cell r="C162" t="str">
            <v>Asia</v>
          </cell>
          <cell r="D162" t="str">
            <v>Humid Subtropical</v>
          </cell>
          <cell r="E162" t="str">
            <v>Upper-middle income</v>
          </cell>
        </row>
        <row r="163">
          <cell r="A163" t="str">
            <v>Hunan, China</v>
          </cell>
          <cell r="B163" t="str">
            <v>Hunan, China</v>
          </cell>
          <cell r="C163" t="str">
            <v>Asia</v>
          </cell>
          <cell r="D163" t="str">
            <v>Humid Subtropical</v>
          </cell>
          <cell r="E163" t="str">
            <v>Upper-middle income</v>
          </cell>
        </row>
        <row r="164">
          <cell r="A164" t="str">
            <v>Shenzhen,China</v>
          </cell>
          <cell r="B164" t="str">
            <v>Shenzhen, China</v>
          </cell>
          <cell r="C164" t="str">
            <v>Asia</v>
          </cell>
          <cell r="D164" t="str">
            <v>Humid Subtropical</v>
          </cell>
          <cell r="E164" t="str">
            <v>Upper-middle income</v>
          </cell>
        </row>
        <row r="165">
          <cell r="A165" t="str">
            <v>--- Asia (Korea Specific) ---</v>
          </cell>
          <cell r="B165" t="str">
            <v>  </v>
          </cell>
          <cell r="C165" t="str">
            <v>  </v>
          </cell>
          <cell r="D165" t="str">
            <v>  </v>
          </cell>
          <cell r="E165" t="str">
            <v>  </v>
          </cell>
        </row>
        <row r="166">
          <cell r="A166" t="str">
            <v>Incheon, Korea</v>
          </cell>
          <cell r="B166" t="str">
            <v>Incheon, South Korea</v>
          </cell>
          <cell r="C166" t="str">
            <v>Asia</v>
          </cell>
          <cell r="D166" t="str">
            <v>Continental Monsoon</v>
          </cell>
          <cell r="E166" t="str">
            <v>High income</v>
          </cell>
        </row>
        <row r="167">
          <cell r="A167" t="str">
            <v>GwangJu</v>
          </cell>
          <cell r="B167" t="str">
            <v>Gwangju, South Korea</v>
          </cell>
          <cell r="C167" t="str">
            <v>Asia</v>
          </cell>
          <cell r="D167" t="str">
            <v>Humid Subtropical</v>
          </cell>
          <cell r="E167" t="str">
            <v>High income</v>
          </cell>
        </row>
        <row r="168">
          <cell r="A168" t="str">
            <v>Daejeon</v>
          </cell>
          <cell r="B168" t="str">
            <v>Daejeon, South Korea</v>
          </cell>
          <cell r="C168" t="str">
            <v>Asia</v>
          </cell>
          <cell r="D168" t="str">
            <v>Continental Monsoon</v>
          </cell>
          <cell r="E168" t="str">
            <v>High income</v>
          </cell>
        </row>
        <row r="169">
          <cell r="A169" t="str">
            <v>Ulsan</v>
          </cell>
          <cell r="B169" t="str">
            <v>Ulsan, South Korea</v>
          </cell>
          <cell r="C169" t="str">
            <v>Asia</v>
          </cell>
          <cell r="D169" t="str">
            <v>Humid Subtropical</v>
          </cell>
          <cell r="E169" t="str">
            <v>High income</v>
          </cell>
        </row>
        <row r="170">
          <cell r="A170" t="str">
            <v>Gyeonggido</v>
          </cell>
          <cell r="B170" t="str">
            <v>Gyeonggi, South Korea</v>
          </cell>
          <cell r="C170" t="str">
            <v>Asia</v>
          </cell>
          <cell r="D170" t="str">
            <v>Continental Monsoon</v>
          </cell>
          <cell r="E170" t="str">
            <v>High income</v>
          </cell>
        </row>
        <row r="171">
          <cell r="A171" t="str">
            <v>Gangwondo</v>
          </cell>
          <cell r="B171" t="str">
            <v>Gangwon, South Korea</v>
          </cell>
          <cell r="C171" t="str">
            <v>Asia</v>
          </cell>
          <cell r="D171" t="str">
            <v>Continental Monsoon</v>
          </cell>
          <cell r="E171" t="str">
            <v>High income</v>
          </cell>
        </row>
        <row r="172">
          <cell r="A172" t="str">
            <v>Chungcheongbukdo</v>
          </cell>
          <cell r="B172" t="str">
            <v>Chungbuk, South Korea</v>
          </cell>
          <cell r="C172" t="str">
            <v>Asia</v>
          </cell>
          <cell r="D172" t="str">
            <v>Continental Monsoon</v>
          </cell>
          <cell r="E172" t="str">
            <v>High income</v>
          </cell>
        </row>
        <row r="173">
          <cell r="A173" t="str">
            <v>Chungcheongnamdo</v>
          </cell>
          <cell r="B173" t="str">
            <v>Chungnam, South Korea</v>
          </cell>
          <cell r="C173" t="str">
            <v>Asia</v>
          </cell>
          <cell r="D173" t="str">
            <v>Continental Monsoon</v>
          </cell>
          <cell r="E173" t="str">
            <v>High income</v>
          </cell>
        </row>
        <row r="174">
          <cell r="A174" t="str">
            <v>Jeollabukdo</v>
          </cell>
          <cell r="B174" t="str">
            <v>Jeonbuk, South Korea</v>
          </cell>
          <cell r="C174" t="str">
            <v>Asia</v>
          </cell>
          <cell r="D174" t="str">
            <v>Humid Subtropical</v>
          </cell>
          <cell r="E174" t="str">
            <v>High income</v>
          </cell>
        </row>
        <row r="175">
          <cell r="A175" t="str">
            <v>Jeollanamdo</v>
          </cell>
          <cell r="B175" t="str">
            <v>Jeonnam, South Korea</v>
          </cell>
          <cell r="C175" t="str">
            <v>Asia</v>
          </cell>
          <cell r="D175" t="str">
            <v>Humid Subtropical</v>
          </cell>
          <cell r="E175" t="str">
            <v>High income</v>
          </cell>
        </row>
        <row r="176">
          <cell r="A176" t="str">
            <v>Gyeongsangbukdo</v>
          </cell>
          <cell r="B176" t="str">
            <v>Gyeongbuk, South Korea</v>
          </cell>
          <cell r="C176" t="str">
            <v>Asia</v>
          </cell>
          <cell r="D176" t="str">
            <v>Humid Subtropical</v>
          </cell>
          <cell r="E176" t="str">
            <v>High income</v>
          </cell>
        </row>
        <row r="177">
          <cell r="A177" t="str">
            <v>Gyeongsangnamdo</v>
          </cell>
          <cell r="B177" t="str">
            <v>Gyeongnam, South Korea</v>
          </cell>
          <cell r="C177" t="str">
            <v>Asia</v>
          </cell>
          <cell r="D177" t="str">
            <v>Humid Subtropical</v>
          </cell>
          <cell r="E177" t="str">
            <v>High income</v>
          </cell>
        </row>
        <row r="178">
          <cell r="A178" t="str">
            <v>Jejudo</v>
          </cell>
          <cell r="B178" t="str">
            <v>Jeju, South Korea</v>
          </cell>
          <cell r="C178" t="str">
            <v>Asia</v>
          </cell>
          <cell r="D178" t="str">
            <v>Humid Subtropical</v>
          </cell>
          <cell r="E178" t="str">
            <v>High income</v>
          </cell>
        </row>
        <row r="179">
          <cell r="A179" t="str">
            <v>Korea With dementia</v>
          </cell>
          <cell r="B179" t="str">
            <v>South Korea</v>
          </cell>
          <cell r="C179" t="str">
            <v>Asia</v>
          </cell>
          <cell r="D179" t="str">
            <v>Continental Monsoon</v>
          </cell>
          <cell r="E179" t="str">
            <v>High income</v>
          </cell>
        </row>
        <row r="180">
          <cell r="A180" t="str">
            <v>Korea Without dementia</v>
          </cell>
          <cell r="B180" t="str">
            <v>South Korea</v>
          </cell>
          <cell r="C180" t="str">
            <v>Asia</v>
          </cell>
          <cell r="D180" t="str">
            <v>Continental Monsoon</v>
          </cell>
          <cell r="E180" t="str">
            <v>High income</v>
          </cell>
        </row>
        <row r="181">
          <cell r="A181" t="str">
            <v>--- Asia (Other) ---</v>
          </cell>
          <cell r="B181" t="str">
            <v>  </v>
          </cell>
          <cell r="C181" t="str">
            <v>  </v>
          </cell>
          <cell r="D181" t="str">
            <v>  </v>
          </cell>
          <cell r="E181" t="str">
            <v>  </v>
          </cell>
        </row>
        <row r="182">
          <cell r="A182" t="str">
            <v>Afghanistan</v>
          </cell>
          <cell r="B182" t="str">
            <v>Afghanistan</v>
          </cell>
          <cell r="C182" t="str">
            <v>Asia</v>
          </cell>
          <cell r="D182" t="str">
            <v>Semi-arid</v>
          </cell>
          <cell r="E182" t="str">
            <v>Low income</v>
          </cell>
        </row>
        <row r="183">
          <cell r="A183" t="str">
            <v>Ho Chi Minh City,Vietnam</v>
          </cell>
          <cell r="B183" t="str">
            <v>Ho Chi Minh City</v>
          </cell>
          <cell r="C183" t="str">
            <v>Asia</v>
          </cell>
          <cell r="D183" t="str">
            <v>Tropical</v>
          </cell>
          <cell r="E183" t="str">
            <v>Lower-middle income</v>
          </cell>
        </row>
        <row r="184">
          <cell r="A184" t="str">
            <v>--- North America (USA) ---</v>
          </cell>
          <cell r="B184" t="str">
            <v>  </v>
          </cell>
          <cell r="C184" t="str">
            <v>  </v>
          </cell>
          <cell r="D184" t="str">
            <v>  </v>
          </cell>
          <cell r="E184" t="str">
            <v>  </v>
          </cell>
        </row>
        <row r="185">
          <cell r="A185" t="str">
            <v>Carolina, USA</v>
          </cell>
          <cell r="B185" t="str">
            <v>North Carolina, USA</v>
          </cell>
          <cell r="C185" t="str">
            <v>North America</v>
          </cell>
          <cell r="D185" t="str">
            <v>Humid Subtropical</v>
          </cell>
          <cell r="E185" t="str">
            <v>High income</v>
          </cell>
        </row>
        <row r="186">
          <cell r="A186" t="str">
            <v>USA (California)</v>
          </cell>
          <cell r="B186" t="str">
            <v>California, USA</v>
          </cell>
          <cell r="C186" t="str">
            <v>North America</v>
          </cell>
          <cell r="D186" t="str">
            <v>Mediterranean</v>
          </cell>
          <cell r="E186" t="str">
            <v>High income</v>
          </cell>
        </row>
        <row r="187">
          <cell r="A187" t="str">
            <v>Temperate climates area, USA</v>
          </cell>
          <cell r="B187" t="str">
            <v>USA</v>
          </cell>
          <cell r="C187" t="str">
            <v>North America</v>
          </cell>
          <cell r="D187" t="str">
            <v>Humid Subtropical</v>
          </cell>
          <cell r="E187" t="str">
            <v>High income</v>
          </cell>
        </row>
        <row r="188">
          <cell r="A188" t="str">
            <v>Continental climates area, USA</v>
          </cell>
          <cell r="B188" t="str">
            <v>USA</v>
          </cell>
          <cell r="C188" t="str">
            <v>North America</v>
          </cell>
          <cell r="D188" t="str">
            <v>Humid Continental</v>
          </cell>
          <cell r="E188" t="str">
            <v>High income</v>
          </cell>
        </row>
        <row r="189">
          <cell r="A189" t="str">
            <v>Arid climates area, USA</v>
          </cell>
          <cell r="B189" t="str">
            <v>USA</v>
          </cell>
          <cell r="C189" t="str">
            <v>North America</v>
          </cell>
          <cell r="D189" t="str">
            <v>Arid</v>
          </cell>
          <cell r="E189" t="str">
            <v>High income</v>
          </cell>
        </row>
        <row r="190">
          <cell r="A190" t="str">
            <v>Tropical climates area, USA</v>
          </cell>
          <cell r="B190" t="str">
            <v>USA</v>
          </cell>
          <cell r="C190" t="str">
            <v>North America</v>
          </cell>
          <cell r="D190" t="str">
            <v>Tropical</v>
          </cell>
          <cell r="E190" t="str">
            <v>High income</v>
          </cell>
        </row>
        <row r="191">
          <cell r="A191" t="str">
            <v>120 Large Urban Areas, USA</v>
          </cell>
          <cell r="B191" t="str">
            <v>USA</v>
          </cell>
          <cell r="C191" t="str">
            <v>North America</v>
          </cell>
          <cell r="D191" t="str">
            <v>  </v>
          </cell>
          <cell r="E191" t="str">
            <v>High income</v>
          </cell>
        </row>
        <row r="192">
          <cell r="A192" t="str">
            <v>--- South America (Brazil) ---</v>
          </cell>
          <cell r="B192" t="str">
            <v>  </v>
          </cell>
          <cell r="C192" t="str">
            <v>  </v>
          </cell>
          <cell r="D192" t="str">
            <v>  </v>
          </cell>
          <cell r="E192" t="str">
            <v>  </v>
          </cell>
        </row>
        <row r="193">
          <cell r="A193" t="str">
            <v>Goiânia</v>
          </cell>
          <cell r="B193" t="str">
            <v>Goiania, Brazil</v>
          </cell>
          <cell r="C193" t="str">
            <v>South America</v>
          </cell>
          <cell r="D193" t="str">
            <v>Tropical</v>
          </cell>
          <cell r="E193" t="str">
            <v>Upper-middle income</v>
          </cell>
        </row>
        <row r="194">
          <cell r="A194" t="str">
            <v>Vale do Rio Cuiabá</v>
          </cell>
          <cell r="B194" t="str">
            <v>Cuiaba, Brazil</v>
          </cell>
          <cell r="C194" t="str">
            <v>South America</v>
          </cell>
          <cell r="D194" t="str">
            <v>Tropical</v>
          </cell>
          <cell r="E194" t="str">
            <v>Upper-middle income</v>
          </cell>
        </row>
        <row r="195">
          <cell r="A195" t="str">
            <v>Aracaju</v>
          </cell>
          <cell r="B195" t="str">
            <v>Aracaju, Brazil</v>
          </cell>
          <cell r="C195" t="str">
            <v>South America</v>
          </cell>
          <cell r="D195" t="str">
            <v>Tropical</v>
          </cell>
          <cell r="E195" t="str">
            <v>Upper-middle income</v>
          </cell>
        </row>
        <row r="196">
          <cell r="A196" t="str">
            <v>Campina Grande</v>
          </cell>
          <cell r="B196" t="str">
            <v>Campina Grande, Brazil</v>
          </cell>
          <cell r="C196" t="str">
            <v>South America</v>
          </cell>
          <cell r="D196" t="str">
            <v>Tropical</v>
          </cell>
          <cell r="E196" t="str">
            <v>Upper-middle income</v>
          </cell>
        </row>
        <row r="197">
          <cell r="A197" t="str">
            <v>Cariri</v>
          </cell>
          <cell r="B197" t="str">
            <v>Cariri, Brazil</v>
          </cell>
          <cell r="C197" t="str">
            <v>South America</v>
          </cell>
          <cell r="D197" t="str">
            <v>Tropical</v>
          </cell>
          <cell r="E197" t="str">
            <v>Upper-middle income</v>
          </cell>
        </row>
        <row r="198">
          <cell r="A198" t="str">
            <v>Feira de Santana</v>
          </cell>
          <cell r="B198" t="str">
            <v>Bahia, Brazil</v>
          </cell>
          <cell r="C198" t="str">
            <v>South America</v>
          </cell>
          <cell r="D198" t="str">
            <v>Tropical</v>
          </cell>
          <cell r="E198" t="str">
            <v>Upper-middle income</v>
          </cell>
        </row>
        <row r="199">
          <cell r="A199" t="str">
            <v>Fortaleza</v>
          </cell>
          <cell r="B199" t="str">
            <v>Fortaleza, Brazil</v>
          </cell>
          <cell r="C199" t="str">
            <v>South America</v>
          </cell>
          <cell r="D199" t="str">
            <v>Tropical</v>
          </cell>
          <cell r="E199" t="str">
            <v>Upper-middle income</v>
          </cell>
        </row>
        <row r="200">
          <cell r="A200" t="str">
            <v>Grande São Luís</v>
          </cell>
          <cell r="B200" t="str">
            <v>Sao Luis, Brazil</v>
          </cell>
          <cell r="C200" t="str">
            <v>South America</v>
          </cell>
          <cell r="D200" t="str">
            <v>Tropical</v>
          </cell>
          <cell r="E200" t="str">
            <v>Upper-middle income</v>
          </cell>
        </row>
        <row r="201">
          <cell r="A201" t="str">
            <v>João Pessoa</v>
          </cell>
          <cell r="B201" t="str">
            <v>Joao Pessoa, Brazil</v>
          </cell>
          <cell r="C201" t="str">
            <v>South America</v>
          </cell>
          <cell r="D201" t="str">
            <v>Tropical</v>
          </cell>
          <cell r="E201" t="str">
            <v>Upper-middle income</v>
          </cell>
        </row>
        <row r="202">
          <cell r="A202" t="str">
            <v>Maceió</v>
          </cell>
          <cell r="B202" t="str">
            <v>Maceio, Brazil</v>
          </cell>
          <cell r="C202" t="str">
            <v>South America</v>
          </cell>
          <cell r="D202" t="str">
            <v>Tropical</v>
          </cell>
          <cell r="E202" t="str">
            <v>Upper-middle income</v>
          </cell>
        </row>
        <row r="203">
          <cell r="A203" t="str">
            <v>Natal</v>
          </cell>
          <cell r="B203" t="str">
            <v>Natal, Brazil</v>
          </cell>
          <cell r="C203" t="str">
            <v>South America</v>
          </cell>
          <cell r="D203" t="str">
            <v>Tropical</v>
          </cell>
          <cell r="E203" t="str">
            <v>Upper-middle income</v>
          </cell>
        </row>
        <row r="204">
          <cell r="A204" t="str">
            <v>Palmeira dos Índios</v>
          </cell>
          <cell r="B204" t="str">
            <v>Alagoas, Brazil</v>
          </cell>
          <cell r="C204" t="str">
            <v>South America</v>
          </cell>
          <cell r="D204" t="str">
            <v>Tropical</v>
          </cell>
          <cell r="E204" t="str">
            <v>Upper-middle income</v>
          </cell>
        </row>
        <row r="205">
          <cell r="A205" t="str">
            <v>Patos</v>
          </cell>
          <cell r="B205" t="str">
            <v>Paraiba, Brazil</v>
          </cell>
          <cell r="C205" t="str">
            <v>South America</v>
          </cell>
          <cell r="D205" t="str">
            <v>Tropical</v>
          </cell>
          <cell r="E205" t="str">
            <v>Upper-middle income</v>
          </cell>
        </row>
        <row r="206">
          <cell r="A206" t="str">
            <v>Recife</v>
          </cell>
          <cell r="B206" t="str">
            <v>Recife, Brazil</v>
          </cell>
          <cell r="C206" t="str">
            <v>South America</v>
          </cell>
          <cell r="D206" t="str">
            <v>Tropical</v>
          </cell>
          <cell r="E206" t="str">
            <v>Upper-middle income</v>
          </cell>
        </row>
        <row r="207">
          <cell r="A207" t="str">
            <v>Salvador</v>
          </cell>
          <cell r="B207" t="str">
            <v>Salvador, Brazil</v>
          </cell>
          <cell r="C207" t="str">
            <v>South America</v>
          </cell>
          <cell r="D207" t="str">
            <v>Tropical</v>
          </cell>
          <cell r="E207" t="str">
            <v>Upper-middle income</v>
          </cell>
        </row>
        <row r="208">
          <cell r="A208" t="str">
            <v>Sudoeste Maranhense</v>
          </cell>
          <cell r="B208" t="str">
            <v>Maranhao, Brazil</v>
          </cell>
          <cell r="C208" t="str">
            <v>South America</v>
          </cell>
          <cell r="D208" t="str">
            <v>Tropical</v>
          </cell>
          <cell r="E208" t="str">
            <v>Upper-middle income</v>
          </cell>
        </row>
        <row r="209">
          <cell r="A209" t="str">
            <v>Belém</v>
          </cell>
          <cell r="B209" t="str">
            <v>Belem, Brazil</v>
          </cell>
          <cell r="C209" t="str">
            <v>South America</v>
          </cell>
          <cell r="D209" t="str">
            <v>Tropical</v>
          </cell>
          <cell r="E209" t="str">
            <v>Upper-middle income</v>
          </cell>
        </row>
        <row r="210">
          <cell r="A210" t="str">
            <v>Capital</v>
          </cell>
          <cell r="B210" t="str">
            <v>Brasilia, Brazil</v>
          </cell>
          <cell r="C210" t="str">
            <v>South America</v>
          </cell>
          <cell r="D210" t="str">
            <v>Tropical</v>
          </cell>
          <cell r="E210" t="str">
            <v>Upper-middle income</v>
          </cell>
        </row>
        <row r="211">
          <cell r="A211" t="str">
            <v>Gurupi</v>
          </cell>
          <cell r="B211" t="str">
            <v>Tocantins, Brazil</v>
          </cell>
          <cell r="C211" t="str">
            <v>South America</v>
          </cell>
          <cell r="D211" t="str">
            <v>Tropical</v>
          </cell>
          <cell r="E211" t="str">
            <v>Upper-middle income</v>
          </cell>
        </row>
        <row r="212">
          <cell r="A212" t="str">
            <v>Macapá</v>
          </cell>
          <cell r="B212" t="str">
            <v>Macapa, Brazil</v>
          </cell>
          <cell r="C212" t="str">
            <v>South America</v>
          </cell>
          <cell r="D212" t="str">
            <v>Tropical</v>
          </cell>
          <cell r="E212" t="str">
            <v>Upper-middle income</v>
          </cell>
        </row>
        <row r="213">
          <cell r="A213" t="str">
            <v>Palmas</v>
          </cell>
          <cell r="B213" t="str">
            <v>Palmas, Brazil</v>
          </cell>
          <cell r="C213" t="str">
            <v>South America</v>
          </cell>
          <cell r="D213" t="str">
            <v>Tropical</v>
          </cell>
          <cell r="E213" t="str">
            <v>Upper-middle income</v>
          </cell>
        </row>
        <row r="214">
          <cell r="A214" t="str">
            <v>Belo Horizonte</v>
          </cell>
          <cell r="B214" t="str">
            <v>Belo Horizonte, Brazil</v>
          </cell>
          <cell r="C214" t="str">
            <v>South America</v>
          </cell>
          <cell r="D214" t="str">
            <v>Tropical</v>
          </cell>
          <cell r="E214" t="str">
            <v>Upper-middle income</v>
          </cell>
        </row>
        <row r="215">
          <cell r="A215" t="str">
            <v>Grande Vitória</v>
          </cell>
          <cell r="B215" t="str">
            <v>Vitoria, Brazil</v>
          </cell>
          <cell r="C215" t="str">
            <v>South America</v>
          </cell>
          <cell r="D215" t="str">
            <v>Tropical</v>
          </cell>
          <cell r="E215" t="str">
            <v>Upper-middle income</v>
          </cell>
        </row>
        <row r="216">
          <cell r="A216" t="str">
            <v>RibeirãoPreto</v>
          </cell>
          <cell r="B216" t="str">
            <v>Sao Paulo State, Brazil</v>
          </cell>
          <cell r="C216" t="str">
            <v>South America</v>
          </cell>
          <cell r="D216" t="str">
            <v>Humid Subtropical</v>
          </cell>
          <cell r="E216" t="str">
            <v>Upper-middle income</v>
          </cell>
        </row>
        <row r="217">
          <cell r="A217" t="str">
            <v>São Paulo</v>
          </cell>
          <cell r="B217" t="str">
            <v>São Paulo, Brazil</v>
          </cell>
          <cell r="C217" t="str">
            <v>South America</v>
          </cell>
          <cell r="D217" t="str">
            <v>Humid Subtropical</v>
          </cell>
          <cell r="E217" t="str">
            <v>Upper-middle income</v>
          </cell>
        </row>
        <row r="218">
          <cell r="A218" t="str">
            <v>Sorocaba</v>
          </cell>
          <cell r="B218" t="str">
            <v>Sao Paulo State, Brazil</v>
          </cell>
          <cell r="C218" t="str">
            <v>South America</v>
          </cell>
          <cell r="D218" t="str">
            <v>Humid Subtropical</v>
          </cell>
          <cell r="E218" t="str">
            <v>Upper-middle income</v>
          </cell>
        </row>
        <row r="219">
          <cell r="A219" t="str">
            <v>Vale do Aço</v>
          </cell>
          <cell r="B219" t="str">
            <v>Minas Gerais, Brazil</v>
          </cell>
          <cell r="C219" t="str">
            <v>South America</v>
          </cell>
          <cell r="D219" t="str">
            <v>Tropical</v>
          </cell>
          <cell r="E219" t="str">
            <v>Upper-middle income</v>
          </cell>
        </row>
        <row r="220">
          <cell r="A220" t="str">
            <v>Vale do Paraíba e Litoral Norte</v>
          </cell>
          <cell r="B220" t="str">
            <v>Sao Paulo State, Brazil</v>
          </cell>
          <cell r="C220" t="str">
            <v>South America</v>
          </cell>
          <cell r="D220" t="str">
            <v>Humid Subtropical</v>
          </cell>
          <cell r="E220" t="str">
            <v>Upper-middle income</v>
          </cell>
        </row>
        <row r="221">
          <cell r="A221" t="str">
            <v>Campo Mourão</v>
          </cell>
          <cell r="B221" t="str">
            <v>Parana, Brazil</v>
          </cell>
          <cell r="C221" t="str">
            <v>South America</v>
          </cell>
          <cell r="D221" t="str">
            <v>Humid Subtropical</v>
          </cell>
          <cell r="E221" t="str">
            <v>Upper-middle income</v>
          </cell>
        </row>
        <row r="222">
          <cell r="A222" t="str">
            <v>Carbonífera</v>
          </cell>
          <cell r="B222" t="str">
            <v>Santa Catarina, Brazil</v>
          </cell>
          <cell r="C222" t="str">
            <v>South America</v>
          </cell>
          <cell r="D222" t="str">
            <v>Humid Subtropical</v>
          </cell>
          <cell r="E222" t="str">
            <v>Upper-middle income</v>
          </cell>
        </row>
        <row r="223">
          <cell r="A223" t="str">
            <v>Chapecó</v>
          </cell>
          <cell r="B223" t="str">
            <v>Santa Catarina, Brazil</v>
          </cell>
          <cell r="C223" t="str">
            <v>South America</v>
          </cell>
          <cell r="D223" t="str">
            <v>Humid Subtropical</v>
          </cell>
          <cell r="E223" t="str">
            <v>Upper-middle income</v>
          </cell>
        </row>
        <row r="224">
          <cell r="A224" t="str">
            <v>Contestado</v>
          </cell>
          <cell r="B224" t="str">
            <v>Santa Catarina, Brazil</v>
          </cell>
          <cell r="C224" t="str">
            <v>South America</v>
          </cell>
          <cell r="D224" t="str">
            <v>Humid Subtropical</v>
          </cell>
          <cell r="E224" t="str">
            <v>Upper-middle income</v>
          </cell>
        </row>
        <row r="225">
          <cell r="A225" t="str">
            <v>Curitiba</v>
          </cell>
          <cell r="B225" t="str">
            <v>Curitiba, Brazil</v>
          </cell>
          <cell r="C225" t="str">
            <v>South America</v>
          </cell>
          <cell r="D225" t="str">
            <v>Humid Subtropical</v>
          </cell>
          <cell r="E225" t="str">
            <v>Upper-middle income</v>
          </cell>
        </row>
        <row r="226">
          <cell r="A226" t="str">
            <v>Florianópolis</v>
          </cell>
          <cell r="B226" t="str">
            <v>Florianopolis, Brazil</v>
          </cell>
          <cell r="C226" t="str">
            <v>South America</v>
          </cell>
          <cell r="D226" t="str">
            <v>Humid Subtropical</v>
          </cell>
          <cell r="E226" t="str">
            <v>Upper-middle income</v>
          </cell>
        </row>
        <row r="227">
          <cell r="A227" t="str">
            <v>Lages</v>
          </cell>
          <cell r="B227" t="str">
            <v>Santa Catarina, Brazil</v>
          </cell>
          <cell r="C227" t="str">
            <v>South America</v>
          </cell>
          <cell r="D227" t="str">
            <v>Humid Subtropical</v>
          </cell>
          <cell r="E227" t="str">
            <v>Upper-middle income</v>
          </cell>
        </row>
        <row r="228">
          <cell r="A228" t="str">
            <v>Londrina</v>
          </cell>
          <cell r="B228" t="str">
            <v>Parana, Brazil</v>
          </cell>
          <cell r="C228" t="str">
            <v>South America</v>
          </cell>
          <cell r="D228" t="str">
            <v>Humid Subtropical</v>
          </cell>
          <cell r="E228" t="str">
            <v>Upper-middle income</v>
          </cell>
        </row>
        <row r="229">
          <cell r="A229" t="str">
            <v>Maringá</v>
          </cell>
          <cell r="B229" t="str">
            <v>Parana, Brazil</v>
          </cell>
          <cell r="C229" t="str">
            <v>South America</v>
          </cell>
          <cell r="D229" t="str">
            <v>Humid Subtropical</v>
          </cell>
          <cell r="E229" t="str">
            <v>Upper-middle income</v>
          </cell>
        </row>
        <row r="230">
          <cell r="A230" t="str">
            <v>Porto Alegre</v>
          </cell>
          <cell r="B230" t="str">
            <v>Porto Alegre, Brazil</v>
          </cell>
          <cell r="C230" t="str">
            <v>South America</v>
          </cell>
          <cell r="D230" t="str">
            <v>Humid Subtropical</v>
          </cell>
          <cell r="E230" t="str">
            <v>Upper-middle income</v>
          </cell>
        </row>
        <row r="231">
          <cell r="A231" t="str">
            <v>Serra Gaúcha</v>
          </cell>
          <cell r="B231" t="str">
            <v>Rio Grande do Sul, Brazil</v>
          </cell>
          <cell r="C231" t="str">
            <v>South America</v>
          </cell>
          <cell r="D231" t="str">
            <v>Humid Subtropical</v>
          </cell>
          <cell r="E231" t="str">
            <v>Upper-middle income</v>
          </cell>
        </row>
        <row r="232">
          <cell r="A232" t="str">
            <v>Vale do Itajaí</v>
          </cell>
          <cell r="B232" t="str">
            <v>Santa Catarina, Brazil</v>
          </cell>
          <cell r="C232" t="str">
            <v>South America</v>
          </cell>
          <cell r="D232" t="str">
            <v>Humid Subtropical</v>
          </cell>
          <cell r="E232" t="str">
            <v>Upper-middle income</v>
          </cell>
        </row>
        <row r="233">
          <cell r="A233" t="str">
            <v>--- Oceania ---</v>
          </cell>
          <cell r="B233" t="str">
            <v>  </v>
          </cell>
          <cell r="C233" t="str">
            <v>  </v>
          </cell>
          <cell r="D233" t="str">
            <v>  </v>
          </cell>
          <cell r="E233" t="str">
            <v>  </v>
          </cell>
        </row>
        <row r="234">
          <cell r="A234" t="str">
            <v>Australia</v>
          </cell>
          <cell r="B234" t="str">
            <v>Australia</v>
          </cell>
          <cell r="C234" t="str">
            <v>Oceania</v>
          </cell>
          <cell r="D234" t="str">
            <v>  </v>
          </cell>
          <cell r="E234" t="str">
            <v>High income</v>
          </cell>
        </row>
        <row r="235">
          <cell r="A235" t="str">
            <v>outage scenario in Victoria, Australia</v>
          </cell>
          <cell r="B235" t="str">
            <v>Australia (Victoria)</v>
          </cell>
          <cell r="C235" t="str">
            <v>Oceania</v>
          </cell>
          <cell r="D235" t="str">
            <v>Oceanic</v>
          </cell>
          <cell r="E235" t="str">
            <v>High income</v>
          </cell>
        </row>
        <row r="236">
          <cell r="A236" t="str">
            <v>non-outage scenario in Victoria, Australia</v>
          </cell>
          <cell r="B236" t="str">
            <v>Australia (Victoria)</v>
          </cell>
          <cell r="C236" t="str">
            <v>Oceania</v>
          </cell>
          <cell r="D236" t="str">
            <v>Oceanic</v>
          </cell>
          <cell r="E236" t="str">
            <v>High income</v>
          </cell>
        </row>
        <row r="237">
          <cell r="A237" t="str">
            <v>Original Input (原始数据)</v>
          </cell>
          <cell r="B237" t="str">
            <v>Standardized Location</v>
          </cell>
          <cell r="C237" t="str">
            <v>Continent</v>
          </cell>
          <cell r="D237" t="str">
            <v>Refined Climate Zone</v>
          </cell>
          <cell r="E237" t="str">
            <v>Income Level</v>
          </cell>
        </row>
        <row r="238">
          <cell r="A238" t="str">
            <v>North-West</v>
          </cell>
          <cell r="B238" t="str">
            <v>UK</v>
          </cell>
          <cell r="C238" t="str">
            <v>Europe</v>
          </cell>
          <cell r="D238" t="str">
            <v>Oceanic</v>
          </cell>
          <cell r="E238" t="str">
            <v>High income</v>
          </cell>
        </row>
        <row r="239">
          <cell r="A239" t="str">
            <v>Brisbane</v>
          </cell>
          <cell r="B239" t="str">
            <v>Brisbane, Australia</v>
          </cell>
          <cell r="C239" t="str">
            <v>Oceania</v>
          </cell>
          <cell r="D239" t="str">
            <v>Humid Subtropical</v>
          </cell>
          <cell r="E239" t="str">
            <v>High income</v>
          </cell>
        </row>
        <row r="240">
          <cell r="A240" t="str">
            <v>Rome</v>
          </cell>
          <cell r="B240" t="str">
            <v>Rome, Italy</v>
          </cell>
          <cell r="C240" t="str">
            <v>Europe</v>
          </cell>
          <cell r="D240" t="str">
            <v>Mediterranean</v>
          </cell>
          <cell r="E240" t="str">
            <v>High income</v>
          </cell>
        </row>
        <row r="241">
          <cell r="A241" t="str">
            <v>Turin</v>
          </cell>
          <cell r="B241" t="str">
            <v>Turin, Italy</v>
          </cell>
          <cell r="C241" t="str">
            <v>Europe</v>
          </cell>
          <cell r="D241" t="str">
            <v>Humid Subtropical</v>
          </cell>
          <cell r="E241" t="str">
            <v>High income</v>
          </cell>
        </row>
        <row r="242">
          <cell r="A242" t="str">
            <v>outage scenario in Victoria, Australia</v>
          </cell>
          <cell r="B242" t="str">
            <v>Australia (Victoria)</v>
          </cell>
          <cell r="C242" t="str">
            <v>Oceania</v>
          </cell>
          <cell r="D242" t="str">
            <v>Oceanic</v>
          </cell>
          <cell r="E242" t="str">
            <v>High income</v>
          </cell>
        </row>
        <row r="243">
          <cell r="A243" t="str">
            <v>outage  scenario in Victoria, Australia</v>
          </cell>
          <cell r="B243" t="str">
            <v>Australia (Victoria)</v>
          </cell>
          <cell r="C243" t="str">
            <v>Oceania</v>
          </cell>
          <cell r="D243" t="str">
            <v>Oceanic</v>
          </cell>
          <cell r="E243" t="str">
            <v>High income</v>
          </cell>
        </row>
        <row r="244">
          <cell r="A244" t="str">
            <v>Anhui,China</v>
          </cell>
          <cell r="B244" t="str">
            <v>Anhui, China</v>
          </cell>
          <cell r="C244" t="str">
            <v>Asia</v>
          </cell>
          <cell r="D244" t="str">
            <v>Humid Subtropical</v>
          </cell>
          <cell r="E244" t="str">
            <v>Upper-middle income</v>
          </cell>
        </row>
        <row r="245">
          <cell r="A245" t="str">
            <v>China </v>
          </cell>
          <cell r="B245" t="str">
            <v>China</v>
          </cell>
          <cell r="C245" t="str">
            <v>Asia</v>
          </cell>
          <cell r="D245" t="str">
            <v> </v>
          </cell>
          <cell r="E245" t="str">
            <v>Upper-middle income</v>
          </cell>
        </row>
      </sheetData>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https://pubmed.ncbi.nlm.nih.gov/?term=Xu+R&amp;cauthor_id=31661490" TargetMode="External"/><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comments" Target="../comments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88"/>
  <sheetViews>
    <sheetView topLeftCell="A61" workbookViewId="0">
      <pane xSplit="1" topLeftCell="B1" activePane="topRight" state="frozen"/>
      <selection/>
      <selection pane="topRight" activeCell="H1" sqref="H1"/>
    </sheetView>
  </sheetViews>
  <sheetFormatPr defaultColWidth="9" defaultRowHeight="13.85"/>
  <cols>
    <col min="1" max="110" width="9" style="2"/>
  </cols>
  <sheetData>
    <row r="1" ht="15" spans="1:28">
      <c r="A1" s="2" t="s">
        <v>0</v>
      </c>
      <c r="B1" s="2" t="s">
        <v>1</v>
      </c>
      <c r="C1" s="2" t="s">
        <v>2</v>
      </c>
      <c r="D1" s="2" t="s">
        <v>3</v>
      </c>
      <c r="E1" s="2" t="s">
        <v>4</v>
      </c>
      <c r="F1" s="2" t="s">
        <v>5</v>
      </c>
      <c r="G1" s="2" t="s">
        <v>6</v>
      </c>
      <c r="H1" s="2" t="s">
        <v>6</v>
      </c>
      <c r="I1" s="2" t="s">
        <v>7</v>
      </c>
      <c r="J1" s="2" t="s">
        <v>8</v>
      </c>
      <c r="K1" s="2" t="s">
        <v>9</v>
      </c>
      <c r="L1" s="2" t="s">
        <v>10</v>
      </c>
      <c r="M1" s="2" t="s">
        <v>11</v>
      </c>
      <c r="N1" s="2" t="s">
        <v>12</v>
      </c>
      <c r="O1" s="2" t="s">
        <v>13</v>
      </c>
      <c r="P1" s="2" t="s">
        <v>14</v>
      </c>
      <c r="Q1" s="2" t="s">
        <v>15</v>
      </c>
      <c r="R1" s="2" t="s">
        <v>16</v>
      </c>
      <c r="S1" s="2" t="s">
        <v>17</v>
      </c>
      <c r="T1" s="2" t="s">
        <v>18</v>
      </c>
      <c r="U1" s="15" t="s">
        <v>19</v>
      </c>
      <c r="V1" s="2" t="s">
        <v>20</v>
      </c>
      <c r="W1" s="2" t="s">
        <v>21</v>
      </c>
      <c r="X1" s="2"/>
      <c r="Y1" s="2" t="s">
        <v>22</v>
      </c>
      <c r="Z1" s="2" t="s">
        <v>23</v>
      </c>
      <c r="AA1" s="2" t="s">
        <v>24</v>
      </c>
      <c r="AB1" s="2" t="s">
        <v>25</v>
      </c>
    </row>
    <row r="2" spans="1:28">
      <c r="A2" s="2">
        <v>24</v>
      </c>
      <c r="B2" s="2">
        <v>1</v>
      </c>
      <c r="C2" s="2" t="s">
        <v>26</v>
      </c>
      <c r="D2" s="2">
        <v>2010</v>
      </c>
      <c r="E2" s="2" t="s">
        <v>27</v>
      </c>
      <c r="F2" s="2" t="s">
        <v>28</v>
      </c>
      <c r="G2" s="2" t="s">
        <v>29</v>
      </c>
      <c r="H2" s="2" t="s">
        <v>29</v>
      </c>
      <c r="I2" s="2" t="s">
        <v>30</v>
      </c>
      <c r="J2" s="2" t="s">
        <v>31</v>
      </c>
      <c r="K2" s="2" t="s">
        <v>32</v>
      </c>
      <c r="L2" s="2"/>
      <c r="M2" s="2"/>
      <c r="N2" s="2"/>
      <c r="O2" s="2"/>
      <c r="P2" s="2" t="s">
        <v>33</v>
      </c>
      <c r="Q2" s="2" t="s">
        <v>34</v>
      </c>
      <c r="R2" s="2" t="s">
        <v>35</v>
      </c>
      <c r="S2" s="2"/>
      <c r="T2" s="2" t="s">
        <v>36</v>
      </c>
      <c r="U2" s="2">
        <v>0.5</v>
      </c>
      <c r="V2" s="2" t="s">
        <v>37</v>
      </c>
      <c r="W2" s="2" t="s">
        <v>38</v>
      </c>
      <c r="X2" s="2" t="s">
        <v>38</v>
      </c>
      <c r="Y2" s="2" t="s">
        <v>39</v>
      </c>
      <c r="Z2" s="2">
        <v>1.027</v>
      </c>
      <c r="AA2" s="2">
        <v>1.022</v>
      </c>
      <c r="AB2" s="2">
        <v>1.032</v>
      </c>
    </row>
    <row r="3" spans="1:28">
      <c r="A3" s="2">
        <v>24</v>
      </c>
      <c r="B3" s="2">
        <v>2</v>
      </c>
      <c r="C3" s="2"/>
      <c r="D3" s="2">
        <v>2010</v>
      </c>
      <c r="E3" s="2"/>
      <c r="F3" s="2" t="s">
        <v>28</v>
      </c>
      <c r="G3" s="2" t="s">
        <v>40</v>
      </c>
      <c r="H3" s="2" t="s">
        <v>41</v>
      </c>
      <c r="I3" s="2" t="s">
        <v>30</v>
      </c>
      <c r="J3" s="2" t="s">
        <v>31</v>
      </c>
      <c r="K3" s="2" t="s">
        <v>32</v>
      </c>
      <c r="L3" s="2"/>
      <c r="M3" s="2"/>
      <c r="N3" s="2" t="s">
        <v>42</v>
      </c>
      <c r="O3" s="2"/>
      <c r="P3" s="2"/>
      <c r="Q3" s="2" t="s">
        <v>34</v>
      </c>
      <c r="R3" s="2" t="s">
        <v>35</v>
      </c>
      <c r="S3" s="2"/>
      <c r="T3" s="2" t="s">
        <v>36</v>
      </c>
      <c r="U3" s="2">
        <v>0.5</v>
      </c>
      <c r="V3" s="2" t="s">
        <v>37</v>
      </c>
      <c r="W3" s="2" t="s">
        <v>38</v>
      </c>
      <c r="X3" s="2" t="s">
        <v>38</v>
      </c>
      <c r="Y3" s="2" t="s">
        <v>39</v>
      </c>
      <c r="Z3" s="2">
        <v>1.018</v>
      </c>
      <c r="AA3" s="2">
        <v>1.012</v>
      </c>
      <c r="AB3" s="2">
        <v>1.023</v>
      </c>
    </row>
    <row r="4" spans="1:28">
      <c r="A4" s="2">
        <v>33</v>
      </c>
      <c r="B4" s="2">
        <v>1</v>
      </c>
      <c r="C4" s="2" t="s">
        <v>43</v>
      </c>
      <c r="D4" s="2">
        <v>2020</v>
      </c>
      <c r="E4" s="2" t="s">
        <v>44</v>
      </c>
      <c r="F4" s="2" t="s">
        <v>45</v>
      </c>
      <c r="G4" s="2" t="s">
        <v>46</v>
      </c>
      <c r="H4" s="2" t="s">
        <v>47</v>
      </c>
      <c r="I4" s="2" t="s">
        <v>30</v>
      </c>
      <c r="J4" s="2" t="s">
        <v>48</v>
      </c>
      <c r="K4" s="2" t="s">
        <v>32</v>
      </c>
      <c r="L4" s="2"/>
      <c r="M4" s="2"/>
      <c r="N4" s="2" t="s">
        <v>42</v>
      </c>
      <c r="O4" s="2"/>
      <c r="P4" s="2" t="s">
        <v>49</v>
      </c>
      <c r="Q4" s="2" t="s">
        <v>50</v>
      </c>
      <c r="R4" s="2" t="s">
        <v>35</v>
      </c>
      <c r="S4" s="2"/>
      <c r="T4" s="2" t="s">
        <v>51</v>
      </c>
      <c r="U4" s="2">
        <v>1</v>
      </c>
      <c r="V4" s="2" t="s">
        <v>37</v>
      </c>
      <c r="W4" s="2" t="s">
        <v>52</v>
      </c>
      <c r="X4" s="2" t="s">
        <v>38</v>
      </c>
      <c r="Y4" s="2" t="s">
        <v>53</v>
      </c>
      <c r="Z4" s="2">
        <v>1.024</v>
      </c>
      <c r="AA4" s="2">
        <v>1.016</v>
      </c>
      <c r="AB4" s="2">
        <v>1.032</v>
      </c>
    </row>
    <row r="5" spans="1:28">
      <c r="A5" s="2">
        <v>33</v>
      </c>
      <c r="B5" s="2">
        <v>2</v>
      </c>
      <c r="C5" s="2"/>
      <c r="D5" s="2">
        <v>2020</v>
      </c>
      <c r="E5" s="2"/>
      <c r="F5" s="2" t="s">
        <v>54</v>
      </c>
      <c r="G5" s="2" t="s">
        <v>46</v>
      </c>
      <c r="H5" s="2" t="s">
        <v>47</v>
      </c>
      <c r="I5" s="2" t="s">
        <v>30</v>
      </c>
      <c r="J5" s="2" t="s">
        <v>48</v>
      </c>
      <c r="K5" s="2" t="s">
        <v>32</v>
      </c>
      <c r="L5" s="2"/>
      <c r="M5" s="2"/>
      <c r="N5" s="2" t="s">
        <v>42</v>
      </c>
      <c r="O5" s="2"/>
      <c r="P5" s="2"/>
      <c r="Q5" s="2" t="s">
        <v>50</v>
      </c>
      <c r="R5" s="2" t="s">
        <v>35</v>
      </c>
      <c r="S5" s="2"/>
      <c r="T5" s="2" t="s">
        <v>51</v>
      </c>
      <c r="U5" s="2">
        <v>1</v>
      </c>
      <c r="V5" s="2" t="s">
        <v>37</v>
      </c>
      <c r="W5" s="2" t="s">
        <v>52</v>
      </c>
      <c r="X5" s="2" t="s">
        <v>38</v>
      </c>
      <c r="Y5" s="2" t="s">
        <v>53</v>
      </c>
      <c r="Z5" s="2">
        <v>1.049</v>
      </c>
      <c r="AA5" s="2">
        <v>1.044</v>
      </c>
      <c r="AB5" s="2">
        <v>1.054</v>
      </c>
    </row>
    <row r="6" spans="1:28">
      <c r="A6" s="2">
        <v>33</v>
      </c>
      <c r="B6" s="2">
        <v>3</v>
      </c>
      <c r="C6" s="2"/>
      <c r="D6" s="2">
        <v>2020</v>
      </c>
      <c r="E6" s="2"/>
      <c r="F6" s="2" t="s">
        <v>45</v>
      </c>
      <c r="G6" s="2" t="s">
        <v>55</v>
      </c>
      <c r="H6" s="2" t="s">
        <v>47</v>
      </c>
      <c r="I6" s="2" t="s">
        <v>30</v>
      </c>
      <c r="J6" s="2" t="s">
        <v>48</v>
      </c>
      <c r="K6" s="2" t="s">
        <v>32</v>
      </c>
      <c r="L6" s="2"/>
      <c r="M6" s="2"/>
      <c r="N6" s="2" t="s">
        <v>42</v>
      </c>
      <c r="O6" s="2"/>
      <c r="P6" s="2"/>
      <c r="Q6" s="2" t="s">
        <v>50</v>
      </c>
      <c r="R6" s="2" t="s">
        <v>35</v>
      </c>
      <c r="S6" s="2"/>
      <c r="T6" s="2" t="s">
        <v>51</v>
      </c>
      <c r="U6" s="2">
        <v>1</v>
      </c>
      <c r="V6" s="2" t="s">
        <v>37</v>
      </c>
      <c r="W6" s="2" t="s">
        <v>52</v>
      </c>
      <c r="X6" s="2" t="s">
        <v>38</v>
      </c>
      <c r="Y6" s="2" t="s">
        <v>53</v>
      </c>
      <c r="Z6" s="2">
        <v>1.018</v>
      </c>
      <c r="AA6" s="2">
        <v>1.005</v>
      </c>
      <c r="AB6" s="2">
        <v>1.032</v>
      </c>
    </row>
    <row r="7" spans="1:28">
      <c r="A7" s="2">
        <v>33</v>
      </c>
      <c r="B7" s="2">
        <v>4</v>
      </c>
      <c r="C7" s="2"/>
      <c r="D7" s="2">
        <v>2020</v>
      </c>
      <c r="E7" s="2"/>
      <c r="F7" s="2" t="s">
        <v>54</v>
      </c>
      <c r="G7" s="2" t="s">
        <v>55</v>
      </c>
      <c r="H7" s="2" t="s">
        <v>47</v>
      </c>
      <c r="I7" s="2" t="s">
        <v>30</v>
      </c>
      <c r="J7" s="2" t="s">
        <v>48</v>
      </c>
      <c r="K7" s="2" t="s">
        <v>32</v>
      </c>
      <c r="L7" s="2"/>
      <c r="M7" s="2"/>
      <c r="N7" s="2" t="s">
        <v>42</v>
      </c>
      <c r="O7" s="2"/>
      <c r="P7" s="2"/>
      <c r="Q7" s="2" t="s">
        <v>50</v>
      </c>
      <c r="R7" s="2" t="s">
        <v>35</v>
      </c>
      <c r="S7" s="2"/>
      <c r="T7" s="2" t="s">
        <v>51</v>
      </c>
      <c r="U7" s="2">
        <v>1</v>
      </c>
      <c r="V7" s="2" t="s">
        <v>37</v>
      </c>
      <c r="W7" s="2" t="s">
        <v>52</v>
      </c>
      <c r="X7" s="2" t="s">
        <v>38</v>
      </c>
      <c r="Y7" s="2" t="s">
        <v>53</v>
      </c>
      <c r="Z7" s="2">
        <v>1.025</v>
      </c>
      <c r="AA7" s="2">
        <v>1.018</v>
      </c>
      <c r="AB7" s="2">
        <v>1.033</v>
      </c>
    </row>
    <row r="8" spans="1:28">
      <c r="A8" s="2">
        <v>33</v>
      </c>
      <c r="B8" s="2">
        <v>5</v>
      </c>
      <c r="C8" s="2"/>
      <c r="D8" s="2">
        <v>2020</v>
      </c>
      <c r="E8" s="2"/>
      <c r="F8" s="2" t="s">
        <v>45</v>
      </c>
      <c r="G8" s="2" t="s">
        <v>56</v>
      </c>
      <c r="H8" s="2" t="s">
        <v>47</v>
      </c>
      <c r="I8" s="2" t="s">
        <v>30</v>
      </c>
      <c r="J8" s="2" t="s">
        <v>48</v>
      </c>
      <c r="K8" s="2" t="s">
        <v>32</v>
      </c>
      <c r="L8" s="2"/>
      <c r="M8" s="2"/>
      <c r="N8" s="2" t="s">
        <v>42</v>
      </c>
      <c r="O8" s="2"/>
      <c r="P8" s="2"/>
      <c r="Q8" s="2" t="s">
        <v>50</v>
      </c>
      <c r="R8" s="2" t="s">
        <v>35</v>
      </c>
      <c r="S8" s="2"/>
      <c r="T8" s="2" t="s">
        <v>51</v>
      </c>
      <c r="U8" s="2">
        <v>1</v>
      </c>
      <c r="V8" s="2" t="s">
        <v>37</v>
      </c>
      <c r="W8" s="2" t="s">
        <v>52</v>
      </c>
      <c r="X8" s="2" t="s">
        <v>38</v>
      </c>
      <c r="Y8" s="2" t="s">
        <v>53</v>
      </c>
      <c r="Z8" s="2">
        <v>1.015</v>
      </c>
      <c r="AA8" s="2">
        <v>1</v>
      </c>
      <c r="AB8" s="2">
        <v>1.029</v>
      </c>
    </row>
    <row r="9" spans="1:28">
      <c r="A9" s="2">
        <v>33</v>
      </c>
      <c r="B9" s="2">
        <v>6</v>
      </c>
      <c r="C9" s="2"/>
      <c r="D9" s="2">
        <v>2020</v>
      </c>
      <c r="E9" s="2"/>
      <c r="F9" s="2" t="s">
        <v>54</v>
      </c>
      <c r="G9" s="2" t="s">
        <v>56</v>
      </c>
      <c r="H9" s="2" t="s">
        <v>47</v>
      </c>
      <c r="I9" s="2" t="s">
        <v>30</v>
      </c>
      <c r="J9" s="2" t="s">
        <v>48</v>
      </c>
      <c r="K9" s="2" t="s">
        <v>32</v>
      </c>
      <c r="L9" s="2"/>
      <c r="M9" s="2"/>
      <c r="N9" s="2" t="s">
        <v>42</v>
      </c>
      <c r="O9" s="2"/>
      <c r="P9" s="2"/>
      <c r="Q9" s="2" t="s">
        <v>50</v>
      </c>
      <c r="R9" s="2" t="s">
        <v>35</v>
      </c>
      <c r="S9" s="2"/>
      <c r="T9" s="2" t="s">
        <v>51</v>
      </c>
      <c r="U9" s="2">
        <v>1</v>
      </c>
      <c r="V9" s="2" t="s">
        <v>37</v>
      </c>
      <c r="W9" s="2" t="s">
        <v>52</v>
      </c>
      <c r="X9" s="2" t="s">
        <v>38</v>
      </c>
      <c r="Y9" s="2" t="s">
        <v>53</v>
      </c>
      <c r="Z9" s="2">
        <v>1.029</v>
      </c>
      <c r="AA9" s="2">
        <v>1.02</v>
      </c>
      <c r="AB9" s="2">
        <v>1.037</v>
      </c>
    </row>
    <row r="10" spans="1:28">
      <c r="A10" s="2">
        <v>41</v>
      </c>
      <c r="B10" s="2">
        <v>1</v>
      </c>
      <c r="C10" s="2"/>
      <c r="D10" s="2">
        <v>2012</v>
      </c>
      <c r="E10" s="2"/>
      <c r="F10" s="2" t="s">
        <v>57</v>
      </c>
      <c r="G10" s="2" t="s">
        <v>58</v>
      </c>
      <c r="H10" s="2" t="s">
        <v>58</v>
      </c>
      <c r="I10" s="2" t="s">
        <v>59</v>
      </c>
      <c r="J10" s="2" t="s">
        <v>60</v>
      </c>
      <c r="K10" s="2" t="s">
        <v>61</v>
      </c>
      <c r="L10" s="2"/>
      <c r="M10" s="2">
        <v>0.52</v>
      </c>
      <c r="N10" s="2" t="s">
        <v>42</v>
      </c>
      <c r="O10" s="2"/>
      <c r="P10" s="2" t="s">
        <v>62</v>
      </c>
      <c r="Q10" s="2" t="s">
        <v>63</v>
      </c>
      <c r="R10" s="2" t="s">
        <v>35</v>
      </c>
      <c r="S10" s="2"/>
      <c r="T10" s="2" t="s">
        <v>36</v>
      </c>
      <c r="U10" s="2">
        <v>0.5</v>
      </c>
      <c r="V10" s="2" t="s">
        <v>37</v>
      </c>
      <c r="W10" s="2" t="s">
        <v>64</v>
      </c>
      <c r="X10" s="2" t="s">
        <v>38</v>
      </c>
      <c r="Y10" s="2" t="s">
        <v>39</v>
      </c>
      <c r="Z10" s="2">
        <v>1.0152</v>
      </c>
      <c r="AA10" s="2">
        <v>0.9991</v>
      </c>
      <c r="AB10" s="2">
        <v>1.0245</v>
      </c>
    </row>
    <row r="11" spans="1:28">
      <c r="A11" s="2">
        <v>41</v>
      </c>
      <c r="B11" s="2">
        <v>2</v>
      </c>
      <c r="C11" s="2"/>
      <c r="D11" s="2">
        <v>2012</v>
      </c>
      <c r="E11" s="2"/>
      <c r="F11" s="2" t="s">
        <v>57</v>
      </c>
      <c r="G11" s="2" t="s">
        <v>58</v>
      </c>
      <c r="H11" s="2" t="s">
        <v>58</v>
      </c>
      <c r="I11" s="2" t="s">
        <v>59</v>
      </c>
      <c r="J11" s="2" t="s">
        <v>60</v>
      </c>
      <c r="K11" s="2" t="s">
        <v>61</v>
      </c>
      <c r="L11" s="2"/>
      <c r="M11" s="2">
        <v>0.52</v>
      </c>
      <c r="N11" s="2" t="s">
        <v>42</v>
      </c>
      <c r="O11" s="2"/>
      <c r="P11" s="2" t="s">
        <v>62</v>
      </c>
      <c r="Q11" s="2" t="s">
        <v>63</v>
      </c>
      <c r="R11" s="2" t="s">
        <v>35</v>
      </c>
      <c r="S11" s="2"/>
      <c r="T11" s="15" t="s">
        <v>65</v>
      </c>
      <c r="U11" s="2">
        <v>4</v>
      </c>
      <c r="V11" s="2" t="s">
        <v>37</v>
      </c>
      <c r="W11" s="2" t="s">
        <v>64</v>
      </c>
      <c r="X11" s="2" t="s">
        <v>38</v>
      </c>
      <c r="Y11" s="2" t="s">
        <v>39</v>
      </c>
      <c r="Z11" s="2">
        <v>1.0012</v>
      </c>
      <c r="AA11" s="2">
        <v>0.9986</v>
      </c>
      <c r="AB11" s="2">
        <v>1.004</v>
      </c>
    </row>
    <row r="12" spans="1:28">
      <c r="A12" s="2">
        <v>41</v>
      </c>
      <c r="B12" s="2">
        <v>3</v>
      </c>
      <c r="C12" s="2"/>
      <c r="D12" s="2">
        <v>2012</v>
      </c>
      <c r="E12" s="2"/>
      <c r="F12" s="2" t="s">
        <v>57</v>
      </c>
      <c r="G12" s="2" t="s">
        <v>58</v>
      </c>
      <c r="H12" s="2" t="s">
        <v>58</v>
      </c>
      <c r="I12" s="2" t="s">
        <v>59</v>
      </c>
      <c r="J12" s="2" t="s">
        <v>60</v>
      </c>
      <c r="K12" s="2" t="s">
        <v>61</v>
      </c>
      <c r="L12" s="2"/>
      <c r="M12" s="2">
        <v>0.52</v>
      </c>
      <c r="N12" s="2" t="s">
        <v>42</v>
      </c>
      <c r="O12" s="2"/>
      <c r="P12" s="2" t="s">
        <v>62</v>
      </c>
      <c r="Q12" s="2" t="s">
        <v>63</v>
      </c>
      <c r="R12" s="2" t="s">
        <v>35</v>
      </c>
      <c r="S12" s="2"/>
      <c r="T12" s="15" t="s">
        <v>66</v>
      </c>
      <c r="U12" s="2">
        <v>10</v>
      </c>
      <c r="V12" s="2" t="s">
        <v>37</v>
      </c>
      <c r="W12" s="2" t="s">
        <v>64</v>
      </c>
      <c r="X12" s="2" t="s">
        <v>38</v>
      </c>
      <c r="Y12" s="2" t="s">
        <v>39</v>
      </c>
      <c r="Z12" s="2">
        <v>1.0019</v>
      </c>
      <c r="AA12" s="2">
        <v>0.9993</v>
      </c>
      <c r="AB12" s="2">
        <v>1.004</v>
      </c>
    </row>
    <row r="13" spans="1:28">
      <c r="A13" s="2">
        <v>42</v>
      </c>
      <c r="B13" s="2">
        <v>1</v>
      </c>
      <c r="C13" s="2" t="s">
        <v>67</v>
      </c>
      <c r="D13" s="2">
        <v>2008</v>
      </c>
      <c r="E13" s="2" t="s">
        <v>68</v>
      </c>
      <c r="F13" s="2" t="s">
        <v>45</v>
      </c>
      <c r="G13" s="2" t="s">
        <v>31</v>
      </c>
      <c r="H13" s="2" t="s">
        <v>69</v>
      </c>
      <c r="I13" s="2" t="s">
        <v>30</v>
      </c>
      <c r="J13" s="2" t="s">
        <v>31</v>
      </c>
      <c r="K13" s="2" t="s">
        <v>32</v>
      </c>
      <c r="L13" s="2" t="s">
        <v>70</v>
      </c>
      <c r="M13" s="2"/>
      <c r="N13" s="2" t="s">
        <v>42</v>
      </c>
      <c r="O13" s="2"/>
      <c r="P13" s="2" t="s">
        <v>71</v>
      </c>
      <c r="Q13" s="2" t="s">
        <v>72</v>
      </c>
      <c r="R13" s="2" t="s">
        <v>35</v>
      </c>
      <c r="S13" s="2"/>
      <c r="T13" s="2" t="s">
        <v>73</v>
      </c>
      <c r="U13" s="2">
        <v>1.5</v>
      </c>
      <c r="V13" s="2" t="s">
        <v>37</v>
      </c>
      <c r="W13" s="2" t="s">
        <v>74</v>
      </c>
      <c r="X13" s="2" t="s">
        <v>38</v>
      </c>
      <c r="Y13" s="2" t="s">
        <v>39</v>
      </c>
      <c r="Z13" s="2">
        <v>1.0213</v>
      </c>
      <c r="AA13" s="2">
        <v>0.9958</v>
      </c>
      <c r="AB13" s="2">
        <v>1.0474</v>
      </c>
    </row>
    <row r="14" spans="1:28">
      <c r="A14" s="2">
        <v>42</v>
      </c>
      <c r="B14" s="2">
        <v>2</v>
      </c>
      <c r="C14" s="2"/>
      <c r="D14" s="2">
        <v>2008</v>
      </c>
      <c r="E14" s="2"/>
      <c r="F14" s="2" t="s">
        <v>54</v>
      </c>
      <c r="G14" s="2" t="s">
        <v>31</v>
      </c>
      <c r="H14" s="2" t="s">
        <v>69</v>
      </c>
      <c r="I14" s="2" t="s">
        <v>30</v>
      </c>
      <c r="J14" s="2" t="s">
        <v>31</v>
      </c>
      <c r="K14" s="2" t="s">
        <v>32</v>
      </c>
      <c r="L14" s="2"/>
      <c r="M14" s="2"/>
      <c r="N14" s="2" t="s">
        <v>42</v>
      </c>
      <c r="O14" s="2"/>
      <c r="P14" s="2"/>
      <c r="Q14" s="2" t="s">
        <v>72</v>
      </c>
      <c r="R14" s="2" t="s">
        <v>35</v>
      </c>
      <c r="S14" s="2"/>
      <c r="T14" s="2" t="s">
        <v>73</v>
      </c>
      <c r="U14" s="2">
        <v>1.5</v>
      </c>
      <c r="V14" s="2" t="s">
        <v>37</v>
      </c>
      <c r="W14" s="2" t="s">
        <v>74</v>
      </c>
      <c r="X14" s="2" t="s">
        <v>38</v>
      </c>
      <c r="Y14" s="2" t="s">
        <v>39</v>
      </c>
      <c r="Z14" s="2">
        <v>1.0422</v>
      </c>
      <c r="AA14" s="2">
        <v>1.0133</v>
      </c>
      <c r="AB14" s="2">
        <v>1.072</v>
      </c>
    </row>
    <row r="15" spans="1:28">
      <c r="A15" s="2">
        <v>42</v>
      </c>
      <c r="B15" s="2">
        <v>3</v>
      </c>
      <c r="C15" s="2"/>
      <c r="D15" s="2">
        <v>2008</v>
      </c>
      <c r="E15" s="2"/>
      <c r="F15" s="2" t="s">
        <v>45</v>
      </c>
      <c r="G15" s="2" t="s">
        <v>75</v>
      </c>
      <c r="H15" s="2" t="s">
        <v>76</v>
      </c>
      <c r="I15" s="2" t="s">
        <v>30</v>
      </c>
      <c r="J15" s="2" t="s">
        <v>77</v>
      </c>
      <c r="K15" s="2" t="s">
        <v>32</v>
      </c>
      <c r="L15" s="2"/>
      <c r="M15" s="2"/>
      <c r="N15" s="2" t="s">
        <v>42</v>
      </c>
      <c r="O15" s="2"/>
      <c r="P15" s="2"/>
      <c r="Q15" s="2" t="s">
        <v>72</v>
      </c>
      <c r="R15" s="2" t="s">
        <v>35</v>
      </c>
      <c r="S15" s="2"/>
      <c r="T15" s="2" t="s">
        <v>73</v>
      </c>
      <c r="U15" s="2">
        <v>1.5</v>
      </c>
      <c r="V15" s="2" t="s">
        <v>37</v>
      </c>
      <c r="W15" s="2" t="s">
        <v>74</v>
      </c>
      <c r="X15" s="2" t="s">
        <v>38</v>
      </c>
      <c r="Y15" s="2" t="s">
        <v>39</v>
      </c>
      <c r="Z15" s="2">
        <v>1.0165</v>
      </c>
      <c r="AA15" s="2">
        <v>0.9949</v>
      </c>
      <c r="AB15" s="2">
        <v>1.0387</v>
      </c>
    </row>
    <row r="16" spans="1:28">
      <c r="A16" s="2">
        <v>42</v>
      </c>
      <c r="B16" s="2">
        <v>4</v>
      </c>
      <c r="C16" s="2"/>
      <c r="D16" s="2">
        <v>2008</v>
      </c>
      <c r="E16" s="2"/>
      <c r="F16" s="2" t="s">
        <v>54</v>
      </c>
      <c r="G16" s="2" t="s">
        <v>75</v>
      </c>
      <c r="H16" s="2" t="s">
        <v>76</v>
      </c>
      <c r="I16" s="2" t="s">
        <v>30</v>
      </c>
      <c r="J16" s="2" t="s">
        <v>77</v>
      </c>
      <c r="K16" s="2" t="s">
        <v>32</v>
      </c>
      <c r="L16" s="2"/>
      <c r="M16" s="2"/>
      <c r="N16" s="2" t="s">
        <v>42</v>
      </c>
      <c r="O16" s="2"/>
      <c r="P16" s="2"/>
      <c r="Q16" s="2" t="s">
        <v>72</v>
      </c>
      <c r="R16" s="2" t="s">
        <v>35</v>
      </c>
      <c r="S16" s="2"/>
      <c r="T16" s="2" t="s">
        <v>73</v>
      </c>
      <c r="U16" s="2">
        <v>1.5</v>
      </c>
      <c r="V16" s="2" t="s">
        <v>37</v>
      </c>
      <c r="W16" s="2" t="s">
        <v>74</v>
      </c>
      <c r="X16" s="2" t="s">
        <v>38</v>
      </c>
      <c r="Y16" s="2" t="s">
        <v>39</v>
      </c>
      <c r="Z16" s="2">
        <v>1.0207</v>
      </c>
      <c r="AA16" s="2">
        <v>1.0024</v>
      </c>
      <c r="AB16" s="2">
        <v>1.0389</v>
      </c>
    </row>
    <row r="17" spans="1:28">
      <c r="A17" s="2">
        <v>68</v>
      </c>
      <c r="B17" s="2">
        <v>1</v>
      </c>
      <c r="C17" s="2" t="s">
        <v>78</v>
      </c>
      <c r="D17" s="2">
        <v>2020</v>
      </c>
      <c r="E17" s="2" t="s">
        <v>79</v>
      </c>
      <c r="F17" s="2" t="s">
        <v>28</v>
      </c>
      <c r="G17" s="2" t="s">
        <v>80</v>
      </c>
      <c r="H17" s="2" t="s">
        <v>80</v>
      </c>
      <c r="I17" s="2" t="s">
        <v>59</v>
      </c>
      <c r="J17" s="2" t="s">
        <v>31</v>
      </c>
      <c r="K17" s="2" t="s">
        <v>61</v>
      </c>
      <c r="L17" s="2" t="s">
        <v>81</v>
      </c>
      <c r="M17" s="2"/>
      <c r="N17" s="2" t="s">
        <v>42</v>
      </c>
      <c r="O17" s="2"/>
      <c r="P17" s="2" t="s">
        <v>82</v>
      </c>
      <c r="Q17" s="2" t="s">
        <v>83</v>
      </c>
      <c r="R17" s="2" t="s">
        <v>35</v>
      </c>
      <c r="S17" s="2"/>
      <c r="T17" s="2" t="s">
        <v>73</v>
      </c>
      <c r="U17" s="2">
        <v>1.5</v>
      </c>
      <c r="V17" s="2" t="s">
        <v>37</v>
      </c>
      <c r="W17" s="2" t="s">
        <v>84</v>
      </c>
      <c r="X17" s="2" t="s">
        <v>38</v>
      </c>
      <c r="Y17" s="2" t="s">
        <v>85</v>
      </c>
      <c r="Z17" s="2">
        <v>1.0228</v>
      </c>
      <c r="AA17" s="2">
        <v>1.0062</v>
      </c>
      <c r="AB17" s="2">
        <v>1.0397</v>
      </c>
    </row>
    <row r="18" spans="1:28">
      <c r="A18" s="2">
        <v>209</v>
      </c>
      <c r="B18" s="2">
        <v>1</v>
      </c>
      <c r="C18" s="2"/>
      <c r="D18" s="2">
        <v>2022</v>
      </c>
      <c r="E18" s="2"/>
      <c r="F18" s="2" t="s">
        <v>45</v>
      </c>
      <c r="G18" s="2" t="s">
        <v>86</v>
      </c>
      <c r="H18" s="2" t="s">
        <v>86</v>
      </c>
      <c r="I18" s="2" t="s">
        <v>30</v>
      </c>
      <c r="J18" s="2" t="s">
        <v>48</v>
      </c>
      <c r="K18" s="2" t="s">
        <v>32</v>
      </c>
      <c r="L18" s="2"/>
      <c r="M18" s="2">
        <v>0.488</v>
      </c>
      <c r="N18" s="2" t="s">
        <v>42</v>
      </c>
      <c r="O18" s="2"/>
      <c r="P18" s="2"/>
      <c r="Q18" s="2" t="s">
        <v>87</v>
      </c>
      <c r="R18" s="2" t="s">
        <v>35</v>
      </c>
      <c r="S18" s="2"/>
      <c r="T18" s="2" t="s">
        <v>88</v>
      </c>
      <c r="U18" s="2">
        <v>3.5</v>
      </c>
      <c r="V18" s="2" t="s">
        <v>37</v>
      </c>
      <c r="W18" s="2" t="s">
        <v>89</v>
      </c>
      <c r="X18" s="2" t="s">
        <v>38</v>
      </c>
      <c r="Y18" s="2" t="s">
        <v>39</v>
      </c>
      <c r="Z18" s="2">
        <v>1.0296</v>
      </c>
      <c r="AA18" s="2">
        <v>1.0265</v>
      </c>
      <c r="AB18" s="2">
        <v>1.0328</v>
      </c>
    </row>
    <row r="19" spans="1:28">
      <c r="A19" s="2">
        <v>209</v>
      </c>
      <c r="B19" s="2">
        <v>2</v>
      </c>
      <c r="C19" s="2"/>
      <c r="D19" s="2">
        <v>2022</v>
      </c>
      <c r="E19" s="2"/>
      <c r="F19" s="2" t="s">
        <v>54</v>
      </c>
      <c r="G19" s="2" t="s">
        <v>86</v>
      </c>
      <c r="H19" s="2" t="s">
        <v>86</v>
      </c>
      <c r="I19" s="2" t="s">
        <v>30</v>
      </c>
      <c r="J19" s="2" t="s">
        <v>48</v>
      </c>
      <c r="K19" s="2" t="s">
        <v>32</v>
      </c>
      <c r="L19" s="2"/>
      <c r="M19" s="2">
        <v>0.488</v>
      </c>
      <c r="N19" s="2" t="s">
        <v>42</v>
      </c>
      <c r="O19" s="2"/>
      <c r="P19" s="2"/>
      <c r="Q19" s="2" t="s">
        <v>87</v>
      </c>
      <c r="R19" s="2" t="s">
        <v>35</v>
      </c>
      <c r="S19" s="2"/>
      <c r="T19" s="2" t="s">
        <v>88</v>
      </c>
      <c r="U19" s="2">
        <v>3.5</v>
      </c>
      <c r="V19" s="2" t="s">
        <v>37</v>
      </c>
      <c r="W19" s="2" t="s">
        <v>89</v>
      </c>
      <c r="X19" s="2" t="s">
        <v>38</v>
      </c>
      <c r="Y19" s="2" t="s">
        <v>39</v>
      </c>
      <c r="Z19" s="2">
        <v>1.0053</v>
      </c>
      <c r="AA19" s="2">
        <v>1.0011</v>
      </c>
      <c r="AB19" s="2">
        <v>1.0095</v>
      </c>
    </row>
    <row r="20" spans="1:28">
      <c r="A20" s="2">
        <v>209</v>
      </c>
      <c r="B20" s="2">
        <v>3</v>
      </c>
      <c r="C20" s="2"/>
      <c r="D20" s="2">
        <v>2022</v>
      </c>
      <c r="E20" s="2"/>
      <c r="F20" s="2" t="s">
        <v>54</v>
      </c>
      <c r="G20" s="2" t="s">
        <v>86</v>
      </c>
      <c r="H20" s="2" t="s">
        <v>86</v>
      </c>
      <c r="I20" s="2" t="s">
        <v>30</v>
      </c>
      <c r="J20" s="2" t="s">
        <v>48</v>
      </c>
      <c r="K20" s="2" t="s">
        <v>32</v>
      </c>
      <c r="L20" s="2"/>
      <c r="M20" s="2">
        <v>0.488</v>
      </c>
      <c r="N20" s="2" t="s">
        <v>42</v>
      </c>
      <c r="O20" s="2"/>
      <c r="P20" s="2"/>
      <c r="Q20" s="2" t="s">
        <v>87</v>
      </c>
      <c r="R20" s="2" t="s">
        <v>35</v>
      </c>
      <c r="S20" s="2"/>
      <c r="T20" s="2" t="s">
        <v>88</v>
      </c>
      <c r="U20" s="2">
        <v>3.5</v>
      </c>
      <c r="V20" s="2" t="s">
        <v>37</v>
      </c>
      <c r="W20" s="2" t="s">
        <v>89</v>
      </c>
      <c r="X20" s="2" t="s">
        <v>38</v>
      </c>
      <c r="Y20" s="2" t="s">
        <v>39</v>
      </c>
      <c r="Z20" s="2">
        <v>1.0199</v>
      </c>
      <c r="AA20" s="2">
        <v>1.0157</v>
      </c>
      <c r="AB20" s="2">
        <v>1.0242</v>
      </c>
    </row>
    <row r="21" spans="1:28">
      <c r="A21" s="2">
        <v>209</v>
      </c>
      <c r="B21" s="2">
        <v>4</v>
      </c>
      <c r="C21" s="2"/>
      <c r="D21" s="2">
        <v>2022</v>
      </c>
      <c r="E21" s="2"/>
      <c r="F21" s="2" t="s">
        <v>54</v>
      </c>
      <c r="G21" s="2" t="s">
        <v>86</v>
      </c>
      <c r="H21" s="2" t="s">
        <v>86</v>
      </c>
      <c r="I21" s="2" t="s">
        <v>30</v>
      </c>
      <c r="J21" s="2" t="s">
        <v>48</v>
      </c>
      <c r="K21" s="2" t="s">
        <v>32</v>
      </c>
      <c r="L21" s="2"/>
      <c r="M21" s="2">
        <v>0.488</v>
      </c>
      <c r="N21" s="2" t="s">
        <v>42</v>
      </c>
      <c r="O21" s="2"/>
      <c r="P21" s="2"/>
      <c r="Q21" s="2" t="s">
        <v>87</v>
      </c>
      <c r="R21" s="2" t="s">
        <v>35</v>
      </c>
      <c r="S21" s="2"/>
      <c r="T21" s="2" t="s">
        <v>88</v>
      </c>
      <c r="U21" s="2">
        <v>3.5</v>
      </c>
      <c r="V21" s="2" t="s">
        <v>37</v>
      </c>
      <c r="W21" s="2" t="s">
        <v>89</v>
      </c>
      <c r="X21" s="2" t="s">
        <v>38</v>
      </c>
      <c r="Y21" s="2" t="s">
        <v>39</v>
      </c>
      <c r="Z21" s="2">
        <v>1.0303</v>
      </c>
      <c r="AA21" s="2">
        <v>1.0261</v>
      </c>
      <c r="AB21" s="2">
        <v>1.0345</v>
      </c>
    </row>
    <row r="22" spans="1:28">
      <c r="A22" s="2">
        <v>226</v>
      </c>
      <c r="B22" s="2">
        <v>1</v>
      </c>
      <c r="C22" s="2" t="s">
        <v>90</v>
      </c>
      <c r="D22" s="2">
        <v>2012</v>
      </c>
      <c r="E22" s="2" t="s">
        <v>91</v>
      </c>
      <c r="F22" s="2" t="s">
        <v>57</v>
      </c>
      <c r="G22" s="2" t="s">
        <v>92</v>
      </c>
      <c r="H22" s="2" t="s">
        <v>93</v>
      </c>
      <c r="I22" s="2" t="s">
        <v>59</v>
      </c>
      <c r="J22" s="2" t="s">
        <v>94</v>
      </c>
      <c r="K22" s="2" t="s">
        <v>95</v>
      </c>
      <c r="L22" s="2">
        <v>1980</v>
      </c>
      <c r="M22" s="2"/>
      <c r="N22" s="2" t="s">
        <v>42</v>
      </c>
      <c r="O22" s="2"/>
      <c r="P22" s="2" t="s">
        <v>96</v>
      </c>
      <c r="Q22" s="2" t="s">
        <v>97</v>
      </c>
      <c r="R22" s="2" t="s">
        <v>35</v>
      </c>
      <c r="S22" s="2"/>
      <c r="T22" s="2" t="s">
        <v>36</v>
      </c>
      <c r="U22" s="2">
        <v>0.5</v>
      </c>
      <c r="V22" s="2" t="s">
        <v>37</v>
      </c>
      <c r="W22" s="2" t="s">
        <v>89</v>
      </c>
      <c r="X22" s="2" t="s">
        <v>38</v>
      </c>
      <c r="Y22" s="2" t="s">
        <v>53</v>
      </c>
      <c r="Z22" s="2">
        <v>1.011</v>
      </c>
      <c r="AA22" s="2">
        <v>0.976</v>
      </c>
      <c r="AB22" s="2">
        <v>1.046</v>
      </c>
    </row>
    <row r="23" ht="15" spans="1:28">
      <c r="A23" s="2">
        <v>226</v>
      </c>
      <c r="B23" s="2">
        <v>2</v>
      </c>
      <c r="C23" s="2"/>
      <c r="D23" s="2">
        <v>2012</v>
      </c>
      <c r="E23" s="2"/>
      <c r="F23" s="2" t="s">
        <v>57</v>
      </c>
      <c r="G23" s="2" t="s">
        <v>92</v>
      </c>
      <c r="H23" s="2" t="s">
        <v>93</v>
      </c>
      <c r="I23" s="2" t="s">
        <v>59</v>
      </c>
      <c r="J23" s="2" t="s">
        <v>94</v>
      </c>
      <c r="K23" s="2" t="s">
        <v>95</v>
      </c>
      <c r="L23" s="2"/>
      <c r="M23" s="2"/>
      <c r="N23" s="2" t="s">
        <v>42</v>
      </c>
      <c r="O23" s="2"/>
      <c r="P23" s="2"/>
      <c r="Q23" s="2" t="s">
        <v>97</v>
      </c>
      <c r="R23" s="2" t="s">
        <v>35</v>
      </c>
      <c r="S23" s="2"/>
      <c r="T23" s="2" t="s">
        <v>98</v>
      </c>
      <c r="U23" s="2">
        <v>4</v>
      </c>
      <c r="V23" s="2" t="s">
        <v>37</v>
      </c>
      <c r="W23" s="2" t="s">
        <v>89</v>
      </c>
      <c r="X23" s="2" t="s">
        <v>38</v>
      </c>
      <c r="Y23" s="2" t="s">
        <v>53</v>
      </c>
      <c r="Z23" s="2">
        <v>0.974</v>
      </c>
      <c r="AA23" s="2">
        <v>0.929</v>
      </c>
      <c r="AB23" s="2">
        <v>1.017</v>
      </c>
    </row>
    <row r="24" ht="15" spans="1:28">
      <c r="A24" s="2">
        <v>226</v>
      </c>
      <c r="B24" s="2">
        <v>3</v>
      </c>
      <c r="C24" s="2"/>
      <c r="D24" s="2">
        <v>2012</v>
      </c>
      <c r="E24" s="2"/>
      <c r="F24" s="2" t="s">
        <v>57</v>
      </c>
      <c r="G24" s="2" t="s">
        <v>92</v>
      </c>
      <c r="H24" s="2" t="s">
        <v>93</v>
      </c>
      <c r="I24" s="2" t="s">
        <v>59</v>
      </c>
      <c r="J24" s="2" t="s">
        <v>94</v>
      </c>
      <c r="K24" s="2" t="s">
        <v>95</v>
      </c>
      <c r="L24" s="2"/>
      <c r="M24" s="2"/>
      <c r="N24" s="2" t="s">
        <v>42</v>
      </c>
      <c r="O24" s="2"/>
      <c r="P24" s="2"/>
      <c r="Q24" s="2" t="s">
        <v>97</v>
      </c>
      <c r="R24" s="2" t="s">
        <v>35</v>
      </c>
      <c r="S24" s="2"/>
      <c r="T24" s="2" t="s">
        <v>99</v>
      </c>
      <c r="U24" s="2">
        <v>10</v>
      </c>
      <c r="V24" s="2" t="s">
        <v>37</v>
      </c>
      <c r="W24" s="2" t="s">
        <v>89</v>
      </c>
      <c r="X24" s="2" t="s">
        <v>38</v>
      </c>
      <c r="Y24" s="2" t="s">
        <v>53</v>
      </c>
      <c r="Z24" s="2">
        <v>0.96</v>
      </c>
      <c r="AA24" s="2">
        <v>0.917</v>
      </c>
      <c r="AB24" s="2">
        <v>1.005</v>
      </c>
    </row>
    <row r="25" spans="1:28">
      <c r="A25" s="2">
        <v>243</v>
      </c>
      <c r="B25" s="2">
        <v>1</v>
      </c>
      <c r="C25" s="2"/>
      <c r="D25" s="2">
        <v>2004</v>
      </c>
      <c r="E25" s="2"/>
      <c r="F25" s="2" t="s">
        <v>28</v>
      </c>
      <c r="G25" s="2" t="s">
        <v>100</v>
      </c>
      <c r="H25" s="2" t="s">
        <v>101</v>
      </c>
      <c r="I25" s="2" t="s">
        <v>102</v>
      </c>
      <c r="J25" s="2" t="s">
        <v>31</v>
      </c>
      <c r="K25" s="2" t="s">
        <v>61</v>
      </c>
      <c r="L25" s="2"/>
      <c r="M25" s="2"/>
      <c r="N25" s="2" t="s">
        <v>42</v>
      </c>
      <c r="O25" s="2"/>
      <c r="P25" s="2"/>
      <c r="Q25" s="2" t="s">
        <v>103</v>
      </c>
      <c r="R25" s="2" t="s">
        <v>35</v>
      </c>
      <c r="S25" s="2"/>
      <c r="T25" s="2"/>
      <c r="U25" s="2">
        <v>0</v>
      </c>
      <c r="V25" s="2" t="s">
        <v>104</v>
      </c>
      <c r="W25" s="2" t="s">
        <v>38</v>
      </c>
      <c r="X25" s="2" t="s">
        <v>38</v>
      </c>
      <c r="Y25" s="2" t="s">
        <v>39</v>
      </c>
      <c r="Z25" s="2">
        <v>1.146</v>
      </c>
      <c r="AA25" s="2">
        <v>1.066</v>
      </c>
      <c r="AB25" s="2">
        <v>1.232</v>
      </c>
    </row>
    <row r="26" spans="1:28">
      <c r="A26" s="2">
        <v>243</v>
      </c>
      <c r="B26" s="2">
        <v>2</v>
      </c>
      <c r="C26" s="2"/>
      <c r="D26" s="2">
        <v>2004</v>
      </c>
      <c r="E26" s="2"/>
      <c r="F26" s="2" t="s">
        <v>28</v>
      </c>
      <c r="G26" s="2" t="s">
        <v>100</v>
      </c>
      <c r="H26" s="2" t="s">
        <v>101</v>
      </c>
      <c r="I26" s="2" t="s">
        <v>102</v>
      </c>
      <c r="J26" s="2" t="s">
        <v>31</v>
      </c>
      <c r="K26" s="2" t="s">
        <v>61</v>
      </c>
      <c r="L26" s="2"/>
      <c r="M26" s="2"/>
      <c r="N26" s="2" t="s">
        <v>42</v>
      </c>
      <c r="O26" s="2"/>
      <c r="P26" s="2"/>
      <c r="Q26" s="2" t="s">
        <v>103</v>
      </c>
      <c r="R26" s="2" t="s">
        <v>35</v>
      </c>
      <c r="S26" s="2"/>
      <c r="T26" s="2" t="s">
        <v>105</v>
      </c>
      <c r="U26" s="2">
        <v>1.5</v>
      </c>
      <c r="V26" s="2" t="s">
        <v>37</v>
      </c>
      <c r="W26" s="2" t="s">
        <v>38</v>
      </c>
      <c r="X26" s="2" t="s">
        <v>38</v>
      </c>
      <c r="Y26" s="2" t="s">
        <v>39</v>
      </c>
      <c r="Z26" s="2">
        <v>1.257</v>
      </c>
      <c r="AA26" s="2">
        <v>1.144</v>
      </c>
      <c r="AB26" s="2">
        <v>1.382</v>
      </c>
    </row>
    <row r="27" spans="1:28">
      <c r="A27" s="2">
        <v>243</v>
      </c>
      <c r="B27" s="2">
        <v>3</v>
      </c>
      <c r="C27" s="2"/>
      <c r="D27" s="2">
        <v>2004</v>
      </c>
      <c r="E27" s="2"/>
      <c r="F27" s="2" t="s">
        <v>28</v>
      </c>
      <c r="G27" s="2" t="s">
        <v>100</v>
      </c>
      <c r="H27" s="2" t="s">
        <v>101</v>
      </c>
      <c r="I27" s="2" t="s">
        <v>102</v>
      </c>
      <c r="J27" s="2" t="s">
        <v>31</v>
      </c>
      <c r="K27" s="2" t="s">
        <v>61</v>
      </c>
      <c r="L27" s="2"/>
      <c r="M27" s="2"/>
      <c r="N27" s="2" t="s">
        <v>42</v>
      </c>
      <c r="O27" s="2"/>
      <c r="P27" s="2"/>
      <c r="Q27" s="2" t="s">
        <v>103</v>
      </c>
      <c r="R27" s="2" t="s">
        <v>35</v>
      </c>
      <c r="S27" s="2"/>
      <c r="T27" s="2" t="s">
        <v>106</v>
      </c>
      <c r="U27" s="2">
        <v>4.5</v>
      </c>
      <c r="V27" s="2" t="s">
        <v>37</v>
      </c>
      <c r="W27" s="2" t="s">
        <v>38</v>
      </c>
      <c r="X27" s="2" t="s">
        <v>38</v>
      </c>
      <c r="Y27" s="2" t="s">
        <v>39</v>
      </c>
      <c r="Z27" s="2">
        <v>1.102</v>
      </c>
      <c r="AA27" s="2">
        <v>0.982</v>
      </c>
      <c r="AB27" s="2">
        <v>1.236</v>
      </c>
    </row>
    <row r="28" spans="1:28">
      <c r="A28" s="2">
        <v>281</v>
      </c>
      <c r="B28" s="2">
        <v>1</v>
      </c>
      <c r="C28" s="2" t="s">
        <v>107</v>
      </c>
      <c r="D28" s="2">
        <v>2017</v>
      </c>
      <c r="E28" s="2" t="s">
        <v>108</v>
      </c>
      <c r="F28" s="2" t="s">
        <v>28</v>
      </c>
      <c r="G28" s="2" t="s">
        <v>109</v>
      </c>
      <c r="H28" s="2" t="s">
        <v>109</v>
      </c>
      <c r="I28" s="2" t="s">
        <v>102</v>
      </c>
      <c r="J28" s="2" t="s">
        <v>110</v>
      </c>
      <c r="K28" s="2" t="s">
        <v>111</v>
      </c>
      <c r="L28" s="2">
        <v>16969</v>
      </c>
      <c r="M28" s="2"/>
      <c r="N28" s="2" t="s">
        <v>42</v>
      </c>
      <c r="O28" s="2"/>
      <c r="P28" s="2" t="s">
        <v>112</v>
      </c>
      <c r="Q28" s="2" t="s">
        <v>113</v>
      </c>
      <c r="R28" s="2" t="s">
        <v>35</v>
      </c>
      <c r="S28" s="2"/>
      <c r="T28" s="2" t="s">
        <v>88</v>
      </c>
      <c r="U28" s="2">
        <v>3.5</v>
      </c>
      <c r="V28" s="2" t="s">
        <v>37</v>
      </c>
      <c r="W28" s="2" t="s">
        <v>114</v>
      </c>
      <c r="X28" s="2" t="s">
        <v>38</v>
      </c>
      <c r="Y28" s="2" t="s">
        <v>53</v>
      </c>
      <c r="Z28" s="2">
        <v>1.016</v>
      </c>
      <c r="AA28" s="2">
        <v>1.015</v>
      </c>
      <c r="AB28" s="2">
        <v>1.018</v>
      </c>
    </row>
    <row r="29" spans="1:28">
      <c r="A29" s="2">
        <v>289</v>
      </c>
      <c r="B29" s="2">
        <v>2</v>
      </c>
      <c r="C29" s="2"/>
      <c r="D29" s="2">
        <v>2012</v>
      </c>
      <c r="E29" s="2"/>
      <c r="F29" s="2" t="s">
        <v>45</v>
      </c>
      <c r="G29" s="2" t="s">
        <v>115</v>
      </c>
      <c r="H29" s="2" t="s">
        <v>47</v>
      </c>
      <c r="I29" s="2" t="s">
        <v>30</v>
      </c>
      <c r="J29" s="2" t="s">
        <v>48</v>
      </c>
      <c r="K29" s="2" t="s">
        <v>32</v>
      </c>
      <c r="L29" s="2"/>
      <c r="M29" s="2"/>
      <c r="N29" s="2" t="s">
        <v>42</v>
      </c>
      <c r="O29" s="2"/>
      <c r="P29" s="2" t="s">
        <v>116</v>
      </c>
      <c r="Q29" s="2" t="s">
        <v>117</v>
      </c>
      <c r="R29" s="2" t="s">
        <v>35</v>
      </c>
      <c r="S29" s="2"/>
      <c r="T29" s="2" t="s">
        <v>36</v>
      </c>
      <c r="U29" s="2">
        <v>0.5</v>
      </c>
      <c r="V29" s="2" t="s">
        <v>37</v>
      </c>
      <c r="W29" s="2" t="s">
        <v>118</v>
      </c>
      <c r="X29" s="2" t="s">
        <v>38</v>
      </c>
      <c r="Y29" s="2" t="s">
        <v>39</v>
      </c>
      <c r="Z29" s="2">
        <v>1.021</v>
      </c>
      <c r="AA29" s="2">
        <v>1.015</v>
      </c>
      <c r="AB29" s="2">
        <v>1.026</v>
      </c>
    </row>
    <row r="30" spans="1:28">
      <c r="A30" s="2">
        <v>289</v>
      </c>
      <c r="B30" s="2">
        <v>3</v>
      </c>
      <c r="C30" s="2"/>
      <c r="D30" s="2">
        <v>2012</v>
      </c>
      <c r="E30" s="2"/>
      <c r="F30" s="2" t="s">
        <v>54</v>
      </c>
      <c r="G30" s="2" t="s">
        <v>115</v>
      </c>
      <c r="H30" s="2" t="s">
        <v>47</v>
      </c>
      <c r="I30" s="2" t="s">
        <v>30</v>
      </c>
      <c r="J30" s="2" t="s">
        <v>48</v>
      </c>
      <c r="K30" s="2" t="s">
        <v>32</v>
      </c>
      <c r="L30" s="2"/>
      <c r="M30" s="2"/>
      <c r="N30" s="2" t="s">
        <v>42</v>
      </c>
      <c r="O30" s="2"/>
      <c r="P30" s="2" t="s">
        <v>116</v>
      </c>
      <c r="Q30" s="2" t="s">
        <v>117</v>
      </c>
      <c r="R30" s="2" t="s">
        <v>35</v>
      </c>
      <c r="S30" s="2"/>
      <c r="T30" s="2" t="s">
        <v>36</v>
      </c>
      <c r="U30" s="2">
        <v>0.5</v>
      </c>
      <c r="V30" s="2" t="s">
        <v>37</v>
      </c>
      <c r="W30" s="2" t="s">
        <v>118</v>
      </c>
      <c r="X30" s="2" t="s">
        <v>38</v>
      </c>
      <c r="Y30" s="2" t="s">
        <v>39</v>
      </c>
      <c r="Z30" s="2">
        <v>1.03</v>
      </c>
      <c r="AA30" s="2">
        <v>1.022</v>
      </c>
      <c r="AB30" s="2">
        <v>1.038</v>
      </c>
    </row>
    <row r="31" spans="1:28">
      <c r="A31" s="2">
        <v>299</v>
      </c>
      <c r="B31" s="2">
        <v>1</v>
      </c>
      <c r="C31" s="2" t="s">
        <v>119</v>
      </c>
      <c r="D31" s="2">
        <v>2013</v>
      </c>
      <c r="E31" s="2" t="s">
        <v>120</v>
      </c>
      <c r="F31" s="2" t="s">
        <v>45</v>
      </c>
      <c r="G31" s="2" t="s">
        <v>121</v>
      </c>
      <c r="H31" s="2" t="s">
        <v>121</v>
      </c>
      <c r="I31" s="2" t="s">
        <v>102</v>
      </c>
      <c r="J31" s="2" t="s">
        <v>122</v>
      </c>
      <c r="K31" s="2" t="s">
        <v>111</v>
      </c>
      <c r="L31" s="2"/>
      <c r="M31" s="2"/>
      <c r="N31" s="2" t="s">
        <v>42</v>
      </c>
      <c r="O31" s="2"/>
      <c r="P31" s="2" t="s">
        <v>123</v>
      </c>
      <c r="Q31" s="2" t="s">
        <v>124</v>
      </c>
      <c r="R31" s="2" t="s">
        <v>35</v>
      </c>
      <c r="S31" s="2"/>
      <c r="T31" s="2" t="s">
        <v>125</v>
      </c>
      <c r="U31" s="2">
        <v>2</v>
      </c>
      <c r="V31" s="2" t="s">
        <v>37</v>
      </c>
      <c r="W31" s="2" t="s">
        <v>89</v>
      </c>
      <c r="X31" s="2" t="s">
        <v>38</v>
      </c>
      <c r="Y31" s="2" t="s">
        <v>39</v>
      </c>
      <c r="Z31" s="2">
        <v>1.018</v>
      </c>
      <c r="AA31" s="2">
        <v>0.995</v>
      </c>
      <c r="AB31" s="2">
        <v>1.041</v>
      </c>
    </row>
    <row r="32" spans="1:28">
      <c r="A32" s="2">
        <v>299</v>
      </c>
      <c r="B32" s="2">
        <v>2</v>
      </c>
      <c r="C32" s="2"/>
      <c r="D32" s="2">
        <v>2013</v>
      </c>
      <c r="E32" s="2"/>
      <c r="F32" s="2" t="s">
        <v>54</v>
      </c>
      <c r="G32" s="2" t="s">
        <v>121</v>
      </c>
      <c r="H32" s="2" t="s">
        <v>121</v>
      </c>
      <c r="I32" s="2" t="s">
        <v>102</v>
      </c>
      <c r="J32" s="2" t="s">
        <v>122</v>
      </c>
      <c r="K32" s="2" t="s">
        <v>111</v>
      </c>
      <c r="L32" s="2"/>
      <c r="M32" s="2"/>
      <c r="N32" s="2" t="s">
        <v>42</v>
      </c>
      <c r="O32" s="2"/>
      <c r="P32" s="2" t="s">
        <v>123</v>
      </c>
      <c r="Q32" s="2" t="s">
        <v>124</v>
      </c>
      <c r="R32" s="2" t="s">
        <v>35</v>
      </c>
      <c r="S32" s="2"/>
      <c r="T32" s="2" t="s">
        <v>125</v>
      </c>
      <c r="U32" s="2">
        <v>2</v>
      </c>
      <c r="V32" s="2" t="s">
        <v>37</v>
      </c>
      <c r="W32" s="2" t="s">
        <v>89</v>
      </c>
      <c r="X32" s="2" t="s">
        <v>38</v>
      </c>
      <c r="Y32" s="2" t="s">
        <v>39</v>
      </c>
      <c r="Z32" s="2">
        <v>1.023</v>
      </c>
      <c r="AA32" s="2">
        <v>1.007</v>
      </c>
      <c r="AB32" s="2">
        <v>1.04</v>
      </c>
    </row>
    <row r="33" spans="1:28">
      <c r="A33" s="2">
        <v>321</v>
      </c>
      <c r="B33" s="2">
        <v>1</v>
      </c>
      <c r="C33" s="2" t="s">
        <v>126</v>
      </c>
      <c r="D33" s="2">
        <v>2023</v>
      </c>
      <c r="E33" s="2" t="s">
        <v>127</v>
      </c>
      <c r="F33" s="2" t="s">
        <v>45</v>
      </c>
      <c r="G33" s="2" t="s">
        <v>128</v>
      </c>
      <c r="H33" s="2" t="s">
        <v>128</v>
      </c>
      <c r="I33" s="2" t="s">
        <v>129</v>
      </c>
      <c r="J33" s="2" t="s">
        <v>122</v>
      </c>
      <c r="K33" s="2" t="s">
        <v>32</v>
      </c>
      <c r="L33" s="2"/>
      <c r="M33" s="2"/>
      <c r="N33" s="2" t="s">
        <v>42</v>
      </c>
      <c r="O33" s="2"/>
      <c r="P33" s="2" t="s">
        <v>130</v>
      </c>
      <c r="Q33" s="2" t="s">
        <v>131</v>
      </c>
      <c r="R33" s="2" t="s">
        <v>35</v>
      </c>
      <c r="S33" s="2"/>
      <c r="T33" s="2" t="s">
        <v>132</v>
      </c>
      <c r="U33" s="2">
        <v>3</v>
      </c>
      <c r="V33" s="2" t="s">
        <v>37</v>
      </c>
      <c r="W33" s="2" t="s">
        <v>133</v>
      </c>
      <c r="X33" s="2" t="s">
        <v>38</v>
      </c>
      <c r="Y33" s="2" t="s">
        <v>39</v>
      </c>
      <c r="Z33" s="2">
        <v>1.002</v>
      </c>
      <c r="AA33" s="2">
        <v>0.992</v>
      </c>
      <c r="AB33" s="2">
        <v>1.012</v>
      </c>
    </row>
    <row r="34" spans="1:28">
      <c r="A34" s="2">
        <v>321</v>
      </c>
      <c r="B34" s="2">
        <v>2</v>
      </c>
      <c r="C34" s="2"/>
      <c r="D34" s="2">
        <v>2023</v>
      </c>
      <c r="E34" s="2"/>
      <c r="F34" s="2" t="s">
        <v>54</v>
      </c>
      <c r="G34" s="2" t="s">
        <v>128</v>
      </c>
      <c r="H34" s="2" t="s">
        <v>128</v>
      </c>
      <c r="I34" s="2" t="s">
        <v>129</v>
      </c>
      <c r="J34" s="2" t="s">
        <v>122</v>
      </c>
      <c r="K34" s="2" t="s">
        <v>32</v>
      </c>
      <c r="L34" s="2"/>
      <c r="M34" s="2"/>
      <c r="N34" s="2" t="s">
        <v>42</v>
      </c>
      <c r="O34" s="2"/>
      <c r="P34" s="2" t="s">
        <v>130</v>
      </c>
      <c r="Q34" s="2" t="s">
        <v>131</v>
      </c>
      <c r="R34" s="2" t="s">
        <v>35</v>
      </c>
      <c r="S34" s="2"/>
      <c r="T34" s="2" t="s">
        <v>132</v>
      </c>
      <c r="U34" s="2">
        <v>3</v>
      </c>
      <c r="V34" s="2" t="s">
        <v>37</v>
      </c>
      <c r="W34" s="2" t="s">
        <v>133</v>
      </c>
      <c r="X34" s="2" t="s">
        <v>38</v>
      </c>
      <c r="Y34" s="2" t="s">
        <v>39</v>
      </c>
      <c r="Z34" s="2">
        <v>1.011</v>
      </c>
      <c r="AA34" s="2">
        <v>1.007</v>
      </c>
      <c r="AB34" s="2">
        <v>1.016</v>
      </c>
    </row>
    <row r="35" spans="1:28">
      <c r="A35" s="2">
        <v>325</v>
      </c>
      <c r="B35" s="2">
        <v>1</v>
      </c>
      <c r="C35" s="2" t="s">
        <v>134</v>
      </c>
      <c r="D35" s="2">
        <v>2011</v>
      </c>
      <c r="E35" s="2" t="s">
        <v>135</v>
      </c>
      <c r="F35" s="2" t="s">
        <v>45</v>
      </c>
      <c r="G35" s="2" t="s">
        <v>136</v>
      </c>
      <c r="H35" s="2" t="s">
        <v>136</v>
      </c>
      <c r="I35" s="2" t="s">
        <v>137</v>
      </c>
      <c r="J35" s="2" t="s">
        <v>122</v>
      </c>
      <c r="K35" s="2" t="s">
        <v>32</v>
      </c>
      <c r="L35" s="2"/>
      <c r="M35" s="2"/>
      <c r="N35" s="2" t="s">
        <v>42</v>
      </c>
      <c r="O35" s="2"/>
      <c r="P35" s="2" t="s">
        <v>138</v>
      </c>
      <c r="Q35" s="2" t="s">
        <v>131</v>
      </c>
      <c r="R35" s="2" t="s">
        <v>35</v>
      </c>
      <c r="S35" s="2"/>
      <c r="T35" s="2">
        <v>0</v>
      </c>
      <c r="U35" s="2">
        <v>0</v>
      </c>
      <c r="V35" s="2" t="s">
        <v>104</v>
      </c>
      <c r="W35" s="2" t="s">
        <v>133</v>
      </c>
      <c r="X35" s="2" t="s">
        <v>38</v>
      </c>
      <c r="Y35" s="2" t="s">
        <v>53</v>
      </c>
      <c r="Z35" s="2">
        <v>0.971</v>
      </c>
      <c r="AA35" s="2">
        <v>0.935</v>
      </c>
      <c r="AB35" s="2">
        <v>1.009</v>
      </c>
    </row>
    <row r="36" spans="1:28">
      <c r="A36" s="2">
        <v>325</v>
      </c>
      <c r="B36" s="2">
        <v>2</v>
      </c>
      <c r="C36" s="2"/>
      <c r="D36" s="2">
        <v>2011</v>
      </c>
      <c r="E36" s="2"/>
      <c r="F36" s="2" t="s">
        <v>54</v>
      </c>
      <c r="G36" s="2" t="s">
        <v>136</v>
      </c>
      <c r="H36" s="2" t="s">
        <v>136</v>
      </c>
      <c r="I36" s="2" t="s">
        <v>137</v>
      </c>
      <c r="J36" s="2" t="s">
        <v>122</v>
      </c>
      <c r="K36" s="2" t="s">
        <v>32</v>
      </c>
      <c r="L36" s="2"/>
      <c r="M36" s="2"/>
      <c r="N36" s="2" t="s">
        <v>42</v>
      </c>
      <c r="O36" s="2"/>
      <c r="P36" s="2" t="s">
        <v>138</v>
      </c>
      <c r="Q36" s="2" t="s">
        <v>131</v>
      </c>
      <c r="R36" s="2" t="s">
        <v>35</v>
      </c>
      <c r="S36" s="2"/>
      <c r="T36" s="2">
        <v>0</v>
      </c>
      <c r="U36" s="2">
        <v>0</v>
      </c>
      <c r="V36" s="2" t="s">
        <v>104</v>
      </c>
      <c r="W36" s="2" t="s">
        <v>133</v>
      </c>
      <c r="X36" s="2" t="s">
        <v>38</v>
      </c>
      <c r="Y36" s="2" t="s">
        <v>53</v>
      </c>
      <c r="Z36" s="2">
        <v>0.99</v>
      </c>
      <c r="AA36" s="2">
        <v>0.971</v>
      </c>
      <c r="AB36" s="2">
        <v>1.01</v>
      </c>
    </row>
    <row r="37" spans="1:28">
      <c r="A37" s="2">
        <v>325</v>
      </c>
      <c r="B37" s="2">
        <v>3</v>
      </c>
      <c r="C37" s="2"/>
      <c r="D37" s="2">
        <v>2011</v>
      </c>
      <c r="E37" s="2"/>
      <c r="F37" s="2" t="s">
        <v>45</v>
      </c>
      <c r="G37" s="2" t="s">
        <v>139</v>
      </c>
      <c r="H37" s="2" t="s">
        <v>140</v>
      </c>
      <c r="I37" s="2" t="s">
        <v>129</v>
      </c>
      <c r="J37" s="2" t="s">
        <v>31</v>
      </c>
      <c r="K37" s="2" t="s">
        <v>32</v>
      </c>
      <c r="L37" s="2"/>
      <c r="M37" s="2"/>
      <c r="N37" s="2" t="s">
        <v>42</v>
      </c>
      <c r="O37" s="2"/>
      <c r="P37" s="2" t="s">
        <v>141</v>
      </c>
      <c r="Q37" s="2" t="s">
        <v>131</v>
      </c>
      <c r="R37" s="2" t="s">
        <v>35</v>
      </c>
      <c r="S37" s="2"/>
      <c r="T37" s="2">
        <v>0</v>
      </c>
      <c r="U37" s="2">
        <v>0</v>
      </c>
      <c r="V37" s="2" t="s">
        <v>104</v>
      </c>
      <c r="W37" s="2" t="s">
        <v>133</v>
      </c>
      <c r="X37" s="2" t="s">
        <v>38</v>
      </c>
      <c r="Y37" s="2" t="s">
        <v>53</v>
      </c>
      <c r="Z37" s="2">
        <v>1.004</v>
      </c>
      <c r="AA37" s="2">
        <v>0.991</v>
      </c>
      <c r="AB37" s="2">
        <v>1.018</v>
      </c>
    </row>
    <row r="38" spans="1:28">
      <c r="A38" s="2">
        <v>325</v>
      </c>
      <c r="B38" s="2">
        <v>4</v>
      </c>
      <c r="C38" s="2"/>
      <c r="D38" s="2">
        <v>2011</v>
      </c>
      <c r="E38" s="2"/>
      <c r="F38" s="2" t="s">
        <v>54</v>
      </c>
      <c r="G38" s="2" t="s">
        <v>139</v>
      </c>
      <c r="H38" s="2" t="s">
        <v>140</v>
      </c>
      <c r="I38" s="2" t="s">
        <v>129</v>
      </c>
      <c r="J38" s="2" t="s">
        <v>31</v>
      </c>
      <c r="K38" s="2" t="s">
        <v>32</v>
      </c>
      <c r="L38" s="2"/>
      <c r="M38" s="2"/>
      <c r="N38" s="2" t="s">
        <v>42</v>
      </c>
      <c r="O38" s="2"/>
      <c r="P38" s="2" t="s">
        <v>141</v>
      </c>
      <c r="Q38" s="2" t="s">
        <v>131</v>
      </c>
      <c r="R38" s="2" t="s">
        <v>35</v>
      </c>
      <c r="S38" s="2"/>
      <c r="T38" s="2">
        <v>0</v>
      </c>
      <c r="U38" s="2">
        <v>0</v>
      </c>
      <c r="V38" s="2" t="s">
        <v>104</v>
      </c>
      <c r="W38" s="2" t="s">
        <v>133</v>
      </c>
      <c r="X38" s="2" t="s">
        <v>38</v>
      </c>
      <c r="Y38" s="2" t="s">
        <v>53</v>
      </c>
      <c r="Z38" s="2">
        <v>0.986</v>
      </c>
      <c r="AA38" s="2">
        <v>0.978</v>
      </c>
      <c r="AB38" s="2">
        <v>0.995</v>
      </c>
    </row>
    <row r="39" spans="1:28">
      <c r="A39" s="2">
        <v>328</v>
      </c>
      <c r="B39" s="2">
        <v>1</v>
      </c>
      <c r="C39" s="2" t="s">
        <v>142</v>
      </c>
      <c r="D39" s="2">
        <v>2011</v>
      </c>
      <c r="E39" s="2" t="s">
        <v>143</v>
      </c>
      <c r="F39" s="2" t="s">
        <v>28</v>
      </c>
      <c r="G39" s="2" t="s">
        <v>144</v>
      </c>
      <c r="H39" s="2" t="s">
        <v>145</v>
      </c>
      <c r="I39" s="2" t="s">
        <v>102</v>
      </c>
      <c r="J39" s="2" t="s">
        <v>110</v>
      </c>
      <c r="K39" s="2" t="s">
        <v>32</v>
      </c>
      <c r="L39" s="2" t="s">
        <v>81</v>
      </c>
      <c r="M39" s="2"/>
      <c r="N39" s="2" t="s">
        <v>42</v>
      </c>
      <c r="O39" s="2"/>
      <c r="P39" s="2" t="s">
        <v>146</v>
      </c>
      <c r="Q39" s="2" t="s">
        <v>147</v>
      </c>
      <c r="R39" s="2" t="s">
        <v>35</v>
      </c>
      <c r="S39" s="2"/>
      <c r="T39" s="2" t="s">
        <v>36</v>
      </c>
      <c r="U39" s="2">
        <v>0.5</v>
      </c>
      <c r="V39" s="2" t="s">
        <v>37</v>
      </c>
      <c r="W39" s="2" t="s">
        <v>148</v>
      </c>
      <c r="X39" s="2" t="s">
        <v>38</v>
      </c>
      <c r="Y39" s="2" t="s">
        <v>39</v>
      </c>
      <c r="Z39" s="2">
        <v>1.085</v>
      </c>
      <c r="AA39" s="2">
        <v>1.062</v>
      </c>
      <c r="AB39" s="2">
        <v>1.115</v>
      </c>
    </row>
    <row r="40" spans="1:28">
      <c r="A40" s="2">
        <v>328</v>
      </c>
      <c r="B40" s="2">
        <v>2</v>
      </c>
      <c r="C40" s="2"/>
      <c r="D40" s="2">
        <v>2011</v>
      </c>
      <c r="E40" s="2"/>
      <c r="F40" s="2" t="s">
        <v>28</v>
      </c>
      <c r="G40" s="2" t="s">
        <v>149</v>
      </c>
      <c r="H40" s="2" t="s">
        <v>150</v>
      </c>
      <c r="I40" s="2" t="s">
        <v>102</v>
      </c>
      <c r="J40" s="2" t="s">
        <v>122</v>
      </c>
      <c r="K40" s="2" t="s">
        <v>32</v>
      </c>
      <c r="L40" s="2"/>
      <c r="M40" s="2"/>
      <c r="N40" s="2" t="s">
        <v>42</v>
      </c>
      <c r="O40" s="2"/>
      <c r="P40" s="2" t="s">
        <v>146</v>
      </c>
      <c r="Q40" s="2" t="s">
        <v>151</v>
      </c>
      <c r="R40" s="2" t="s">
        <v>35</v>
      </c>
      <c r="S40" s="2"/>
      <c r="T40" s="2" t="s">
        <v>36</v>
      </c>
      <c r="U40" s="2">
        <v>0.5</v>
      </c>
      <c r="V40" s="2" t="s">
        <v>37</v>
      </c>
      <c r="W40" s="2" t="s">
        <v>148</v>
      </c>
      <c r="X40" s="2" t="s">
        <v>38</v>
      </c>
      <c r="Y40" s="2" t="s">
        <v>39</v>
      </c>
      <c r="Z40" s="2">
        <v>1.084</v>
      </c>
      <c r="AA40" s="2">
        <v>1.056</v>
      </c>
      <c r="AB40" s="2">
        <v>1.112</v>
      </c>
    </row>
    <row r="41" spans="1:28">
      <c r="A41" s="2">
        <v>328</v>
      </c>
      <c r="B41" s="2">
        <v>3</v>
      </c>
      <c r="C41" s="2"/>
      <c r="D41" s="2">
        <v>2011</v>
      </c>
      <c r="E41" s="2"/>
      <c r="F41" s="2" t="s">
        <v>28</v>
      </c>
      <c r="G41" s="2" t="s">
        <v>152</v>
      </c>
      <c r="H41" s="2" t="s">
        <v>153</v>
      </c>
      <c r="I41" s="2" t="s">
        <v>102</v>
      </c>
      <c r="J41" s="2" t="s">
        <v>110</v>
      </c>
      <c r="K41" s="2" t="s">
        <v>32</v>
      </c>
      <c r="L41" s="2"/>
      <c r="M41" s="2"/>
      <c r="N41" s="2" t="s">
        <v>42</v>
      </c>
      <c r="O41" s="2"/>
      <c r="P41" s="2" t="s">
        <v>146</v>
      </c>
      <c r="Q41" s="2" t="s">
        <v>154</v>
      </c>
      <c r="R41" s="2" t="s">
        <v>35</v>
      </c>
      <c r="S41" s="2"/>
      <c r="T41" s="2" t="s">
        <v>36</v>
      </c>
      <c r="U41" s="2">
        <v>0.5</v>
      </c>
      <c r="V41" s="2" t="s">
        <v>37</v>
      </c>
      <c r="W41" s="2" t="s">
        <v>148</v>
      </c>
      <c r="X41" s="2" t="s">
        <v>38</v>
      </c>
      <c r="Y41" s="2" t="s">
        <v>39</v>
      </c>
      <c r="Z41" s="2">
        <v>1.048</v>
      </c>
      <c r="AA41" s="2">
        <v>1.024</v>
      </c>
      <c r="AB41" s="2">
        <v>1.072</v>
      </c>
    </row>
    <row r="42" spans="1:28">
      <c r="A42" s="2">
        <v>329</v>
      </c>
      <c r="B42" s="2">
        <v>1</v>
      </c>
      <c r="C42" s="2" t="s">
        <v>155</v>
      </c>
      <c r="D42" s="2">
        <v>2011</v>
      </c>
      <c r="E42" s="2" t="s">
        <v>143</v>
      </c>
      <c r="F42" s="2" t="s">
        <v>28</v>
      </c>
      <c r="G42" s="2" t="s">
        <v>144</v>
      </c>
      <c r="H42" s="2" t="s">
        <v>145</v>
      </c>
      <c r="I42" s="2" t="s">
        <v>102</v>
      </c>
      <c r="J42" s="2" t="s">
        <v>110</v>
      </c>
      <c r="K42" s="2" t="s">
        <v>32</v>
      </c>
      <c r="L42" s="2">
        <v>102052</v>
      </c>
      <c r="M42" s="2" t="s">
        <v>156</v>
      </c>
      <c r="N42" s="2" t="s">
        <v>42</v>
      </c>
      <c r="O42" s="2"/>
      <c r="P42" s="2" t="s">
        <v>146</v>
      </c>
      <c r="Q42" s="2" t="s">
        <v>157</v>
      </c>
      <c r="R42" s="2" t="s">
        <v>35</v>
      </c>
      <c r="S42" s="2"/>
      <c r="T42" s="2">
        <v>0</v>
      </c>
      <c r="U42" s="2">
        <v>0</v>
      </c>
      <c r="V42" s="2" t="s">
        <v>104</v>
      </c>
      <c r="W42" s="2" t="s">
        <v>158</v>
      </c>
      <c r="X42" s="2" t="s">
        <v>38</v>
      </c>
      <c r="Y42" s="2" t="s">
        <v>39</v>
      </c>
      <c r="Z42" s="2">
        <v>1.117</v>
      </c>
      <c r="AA42" s="2">
        <v>1.073</v>
      </c>
      <c r="AB42" s="2">
        <v>1.164</v>
      </c>
    </row>
    <row r="43" spans="1:28">
      <c r="A43" s="2">
        <v>329</v>
      </c>
      <c r="B43" s="2">
        <v>2</v>
      </c>
      <c r="C43" s="2"/>
      <c r="D43" s="2">
        <v>2011</v>
      </c>
      <c r="E43" s="2"/>
      <c r="F43" s="2" t="s">
        <v>28</v>
      </c>
      <c r="G43" s="2" t="s">
        <v>149</v>
      </c>
      <c r="H43" s="2" t="s">
        <v>150</v>
      </c>
      <c r="I43" s="2" t="s">
        <v>102</v>
      </c>
      <c r="J43" s="2" t="s">
        <v>122</v>
      </c>
      <c r="K43" s="2" t="s">
        <v>32</v>
      </c>
      <c r="L43" s="2">
        <v>102052</v>
      </c>
      <c r="M43" s="2" t="s">
        <v>156</v>
      </c>
      <c r="N43" s="2" t="s">
        <v>42</v>
      </c>
      <c r="O43" s="2"/>
      <c r="P43" s="2" t="s">
        <v>146</v>
      </c>
      <c r="Q43" s="2" t="s">
        <v>157</v>
      </c>
      <c r="R43" s="2" t="s">
        <v>35</v>
      </c>
      <c r="S43" s="2"/>
      <c r="T43" s="2">
        <v>0</v>
      </c>
      <c r="U43" s="2">
        <v>0</v>
      </c>
      <c r="V43" s="2" t="s">
        <v>104</v>
      </c>
      <c r="W43" s="2" t="s">
        <v>158</v>
      </c>
      <c r="X43" s="2" t="s">
        <v>38</v>
      </c>
      <c r="Y43" s="2" t="s">
        <v>39</v>
      </c>
      <c r="Z43" s="2">
        <v>1.027</v>
      </c>
      <c r="AA43" s="2">
        <v>0.971</v>
      </c>
      <c r="AB43" s="2">
        <v>1.087</v>
      </c>
    </row>
    <row r="44" spans="1:28">
      <c r="A44" s="2">
        <v>329</v>
      </c>
      <c r="B44" s="2">
        <v>3</v>
      </c>
      <c r="C44" s="2"/>
      <c r="D44" s="2">
        <v>2011</v>
      </c>
      <c r="E44" s="2"/>
      <c r="F44" s="2" t="s">
        <v>28</v>
      </c>
      <c r="G44" s="2" t="s">
        <v>152</v>
      </c>
      <c r="H44" s="2" t="s">
        <v>153</v>
      </c>
      <c r="I44" s="2" t="s">
        <v>102</v>
      </c>
      <c r="J44" s="2" t="s">
        <v>110</v>
      </c>
      <c r="K44" s="2" t="s">
        <v>32</v>
      </c>
      <c r="L44" s="2">
        <v>102871</v>
      </c>
      <c r="M44" s="2" t="s">
        <v>156</v>
      </c>
      <c r="N44" s="2" t="s">
        <v>42</v>
      </c>
      <c r="O44" s="2"/>
      <c r="P44" s="2" t="s">
        <v>146</v>
      </c>
      <c r="Q44" s="2" t="s">
        <v>159</v>
      </c>
      <c r="R44" s="2" t="s">
        <v>35</v>
      </c>
      <c r="S44" s="2"/>
      <c r="T44" s="2">
        <v>0</v>
      </c>
      <c r="U44" s="2">
        <v>0</v>
      </c>
      <c r="V44" s="2" t="s">
        <v>104</v>
      </c>
      <c r="W44" s="2" t="s">
        <v>158</v>
      </c>
      <c r="X44" s="2" t="s">
        <v>38</v>
      </c>
      <c r="Y44" s="2" t="s">
        <v>39</v>
      </c>
      <c r="Z44" s="2">
        <v>1.077</v>
      </c>
      <c r="AA44" s="2">
        <v>1.017</v>
      </c>
      <c r="AB44" s="2">
        <v>1.142</v>
      </c>
    </row>
    <row r="45" ht="15" spans="1:28">
      <c r="A45" s="2">
        <v>361</v>
      </c>
      <c r="B45" s="2">
        <v>1</v>
      </c>
      <c r="C45" s="2"/>
      <c r="D45" s="2">
        <v>2015</v>
      </c>
      <c r="E45" s="2"/>
      <c r="F45" s="2" t="s">
        <v>45</v>
      </c>
      <c r="G45" s="2" t="s">
        <v>160</v>
      </c>
      <c r="H45" s="2" t="s">
        <v>160</v>
      </c>
      <c r="I45" s="2" t="s">
        <v>102</v>
      </c>
      <c r="J45" s="2" t="s">
        <v>161</v>
      </c>
      <c r="K45" s="2" t="s">
        <v>111</v>
      </c>
      <c r="L45" s="2"/>
      <c r="M45" s="2">
        <v>0.582</v>
      </c>
      <c r="N45" s="2" t="s">
        <v>42</v>
      </c>
      <c r="O45" s="2"/>
      <c r="P45" s="2" t="s">
        <v>162</v>
      </c>
      <c r="Q45" s="2" t="s">
        <v>163</v>
      </c>
      <c r="R45" s="2" t="s">
        <v>35</v>
      </c>
      <c r="S45" s="2"/>
      <c r="T45" s="2" t="s">
        <v>51</v>
      </c>
      <c r="U45" s="2">
        <v>1</v>
      </c>
      <c r="V45" s="2" t="s">
        <v>37</v>
      </c>
      <c r="W45" s="2" t="s">
        <v>164</v>
      </c>
      <c r="X45" s="2" t="s">
        <v>38</v>
      </c>
      <c r="Y45" s="2" t="s">
        <v>53</v>
      </c>
      <c r="Z45" s="2">
        <v>1.0084</v>
      </c>
      <c r="AA45" s="2">
        <v>1.0058</v>
      </c>
      <c r="AB45" s="2">
        <v>1.0111</v>
      </c>
    </row>
    <row r="46" ht="15" spans="1:28">
      <c r="A46" s="2">
        <v>361</v>
      </c>
      <c r="B46" s="2">
        <v>2</v>
      </c>
      <c r="C46" s="2"/>
      <c r="D46" s="2">
        <v>2015</v>
      </c>
      <c r="E46" s="2"/>
      <c r="F46" s="2" t="s">
        <v>54</v>
      </c>
      <c r="G46" s="2" t="s">
        <v>160</v>
      </c>
      <c r="H46" s="2" t="s">
        <v>160</v>
      </c>
      <c r="I46" s="2" t="s">
        <v>102</v>
      </c>
      <c r="J46" s="2" t="s">
        <v>161</v>
      </c>
      <c r="K46" s="2" t="s">
        <v>111</v>
      </c>
      <c r="L46" s="2"/>
      <c r="M46" s="2">
        <v>0.582</v>
      </c>
      <c r="N46" s="2" t="s">
        <v>42</v>
      </c>
      <c r="O46" s="2"/>
      <c r="P46" s="2" t="s">
        <v>162</v>
      </c>
      <c r="Q46" s="2" t="s">
        <v>163</v>
      </c>
      <c r="R46" s="2" t="s">
        <v>35</v>
      </c>
      <c r="S46" s="2"/>
      <c r="T46" s="2" t="s">
        <v>51</v>
      </c>
      <c r="U46" s="2">
        <v>1</v>
      </c>
      <c r="V46" s="2" t="s">
        <v>37</v>
      </c>
      <c r="W46" s="2" t="s">
        <v>164</v>
      </c>
      <c r="X46" s="2" t="s">
        <v>38</v>
      </c>
      <c r="Y46" s="2" t="s">
        <v>53</v>
      </c>
      <c r="Z46" s="2">
        <v>1.0125</v>
      </c>
      <c r="AA46" s="2">
        <v>1.0102</v>
      </c>
      <c r="AB46" s="2">
        <v>1.0148</v>
      </c>
    </row>
    <row r="47" ht="15" spans="1:28">
      <c r="A47" s="2">
        <v>361</v>
      </c>
      <c r="B47" s="2">
        <v>3</v>
      </c>
      <c r="C47" s="2"/>
      <c r="D47" s="2">
        <v>2015</v>
      </c>
      <c r="E47" s="2"/>
      <c r="F47" s="2" t="s">
        <v>54</v>
      </c>
      <c r="G47" s="2" t="s">
        <v>160</v>
      </c>
      <c r="H47" s="2" t="s">
        <v>160</v>
      </c>
      <c r="I47" s="2" t="s">
        <v>102</v>
      </c>
      <c r="J47" s="2" t="s">
        <v>161</v>
      </c>
      <c r="K47" s="2" t="s">
        <v>111</v>
      </c>
      <c r="L47" s="2"/>
      <c r="M47" s="2">
        <v>0.582</v>
      </c>
      <c r="N47" s="2" t="s">
        <v>42</v>
      </c>
      <c r="O47" s="2"/>
      <c r="P47" s="2" t="s">
        <v>162</v>
      </c>
      <c r="Q47" s="2" t="s">
        <v>163</v>
      </c>
      <c r="R47" s="2" t="s">
        <v>35</v>
      </c>
      <c r="S47" s="2"/>
      <c r="T47" s="2" t="s">
        <v>51</v>
      </c>
      <c r="U47" s="2">
        <v>1</v>
      </c>
      <c r="V47" s="2" t="s">
        <v>37</v>
      </c>
      <c r="W47" s="2" t="s">
        <v>164</v>
      </c>
      <c r="X47" s="2" t="s">
        <v>38</v>
      </c>
      <c r="Y47" s="2" t="s">
        <v>53</v>
      </c>
      <c r="Z47" s="2">
        <v>1.0172</v>
      </c>
      <c r="AA47" s="2">
        <v>1.0132</v>
      </c>
      <c r="AB47" s="2">
        <v>1.0213</v>
      </c>
    </row>
    <row r="48" spans="1:28">
      <c r="A48" s="2">
        <v>369</v>
      </c>
      <c r="B48" s="2">
        <v>1</v>
      </c>
      <c r="C48" s="2" t="s">
        <v>165</v>
      </c>
      <c r="D48" s="2">
        <v>2017</v>
      </c>
      <c r="E48" s="2" t="s">
        <v>166</v>
      </c>
      <c r="F48" s="2" t="s">
        <v>45</v>
      </c>
      <c r="G48" s="2" t="s">
        <v>167</v>
      </c>
      <c r="H48" s="2" t="s">
        <v>168</v>
      </c>
      <c r="I48" s="2" t="s">
        <v>102</v>
      </c>
      <c r="J48" s="2" t="s">
        <v>94</v>
      </c>
      <c r="K48" s="2" t="s">
        <v>61</v>
      </c>
      <c r="L48" s="2" t="s">
        <v>169</v>
      </c>
      <c r="M48" s="2">
        <v>0.6044</v>
      </c>
      <c r="N48" s="2" t="s">
        <v>170</v>
      </c>
      <c r="O48" s="2"/>
      <c r="P48" s="2" t="s">
        <v>171</v>
      </c>
      <c r="Q48" s="2" t="s">
        <v>172</v>
      </c>
      <c r="R48" s="2" t="s">
        <v>35</v>
      </c>
      <c r="S48" s="2"/>
      <c r="T48" s="2" t="s">
        <v>36</v>
      </c>
      <c r="U48" s="2">
        <v>0.5</v>
      </c>
      <c r="V48" s="2" t="s">
        <v>37</v>
      </c>
      <c r="W48" s="2" t="s">
        <v>133</v>
      </c>
      <c r="X48" s="2" t="s">
        <v>38</v>
      </c>
      <c r="Y48" s="2" t="s">
        <v>85</v>
      </c>
      <c r="Z48" s="2">
        <v>1.4</v>
      </c>
      <c r="AA48" s="2">
        <v>0.69</v>
      </c>
      <c r="AB48" s="2">
        <v>2.89</v>
      </c>
    </row>
    <row r="49" spans="1:28">
      <c r="A49" s="2">
        <v>369</v>
      </c>
      <c r="B49" s="2">
        <v>2</v>
      </c>
      <c r="C49" s="2"/>
      <c r="D49" s="2">
        <v>2017</v>
      </c>
      <c r="E49" s="2"/>
      <c r="F49" s="2" t="s">
        <v>54</v>
      </c>
      <c r="G49" s="2" t="s">
        <v>167</v>
      </c>
      <c r="H49" s="2" t="s">
        <v>168</v>
      </c>
      <c r="I49" s="2" t="s">
        <v>102</v>
      </c>
      <c r="J49" s="2" t="s">
        <v>94</v>
      </c>
      <c r="K49" s="2" t="s">
        <v>61</v>
      </c>
      <c r="L49" s="2"/>
      <c r="M49" s="2">
        <v>0.6044</v>
      </c>
      <c r="N49" s="2" t="s">
        <v>170</v>
      </c>
      <c r="O49" s="2"/>
      <c r="P49" s="2" t="s">
        <v>171</v>
      </c>
      <c r="Q49" s="2" t="s">
        <v>172</v>
      </c>
      <c r="R49" s="2" t="s">
        <v>35</v>
      </c>
      <c r="S49" s="2"/>
      <c r="T49" s="2" t="s">
        <v>36</v>
      </c>
      <c r="U49" s="2">
        <v>0.5</v>
      </c>
      <c r="V49" s="2" t="s">
        <v>37</v>
      </c>
      <c r="W49" s="2" t="s">
        <v>133</v>
      </c>
      <c r="X49" s="2" t="s">
        <v>38</v>
      </c>
      <c r="Y49" s="2" t="s">
        <v>85</v>
      </c>
      <c r="Z49" s="2">
        <v>1.48</v>
      </c>
      <c r="AA49" s="2">
        <v>0.6</v>
      </c>
      <c r="AB49" s="2">
        <v>3.65</v>
      </c>
    </row>
    <row r="50" spans="1:28">
      <c r="A50" s="2">
        <v>650</v>
      </c>
      <c r="B50" s="2">
        <v>1</v>
      </c>
      <c r="C50" s="2" t="s">
        <v>173</v>
      </c>
      <c r="D50" s="2">
        <v>2018</v>
      </c>
      <c r="E50" s="2" t="s">
        <v>174</v>
      </c>
      <c r="F50" s="2" t="s">
        <v>28</v>
      </c>
      <c r="G50" s="2" t="s">
        <v>175</v>
      </c>
      <c r="H50" s="2" t="s">
        <v>47</v>
      </c>
      <c r="I50" s="2" t="s">
        <v>30</v>
      </c>
      <c r="J50" s="2" t="s">
        <v>48</v>
      </c>
      <c r="K50" s="2" t="s">
        <v>32</v>
      </c>
      <c r="L50" s="2"/>
      <c r="M50" s="2"/>
      <c r="N50" s="2" t="s">
        <v>42</v>
      </c>
      <c r="O50" s="2"/>
      <c r="P50" s="2" t="s">
        <v>176</v>
      </c>
      <c r="Q50" s="2" t="s">
        <v>177</v>
      </c>
      <c r="R50" s="2" t="s">
        <v>35</v>
      </c>
      <c r="S50" s="2"/>
      <c r="T50" s="2"/>
      <c r="U50" s="2"/>
      <c r="V50" s="2"/>
      <c r="W50" s="2" t="s">
        <v>178</v>
      </c>
      <c r="X50" s="2" t="s">
        <v>38</v>
      </c>
      <c r="Y50" s="2" t="s">
        <v>39</v>
      </c>
      <c r="Z50" s="2">
        <v>1.0104</v>
      </c>
      <c r="AA50" s="2">
        <v>1.0101</v>
      </c>
      <c r="AB50" s="2">
        <v>1.0107</v>
      </c>
    </row>
    <row r="51" spans="1:28">
      <c r="A51" s="2">
        <v>735</v>
      </c>
      <c r="B51" s="2">
        <v>1</v>
      </c>
      <c r="C51" s="2" t="s">
        <v>179</v>
      </c>
      <c r="D51" s="2">
        <v>2011</v>
      </c>
      <c r="E51" s="2" t="s">
        <v>180</v>
      </c>
      <c r="F51" s="2" t="s">
        <v>45</v>
      </c>
      <c r="G51" s="2" t="s">
        <v>181</v>
      </c>
      <c r="H51" s="2" t="s">
        <v>181</v>
      </c>
      <c r="I51" s="2" t="s">
        <v>30</v>
      </c>
      <c r="J51" s="2" t="s">
        <v>77</v>
      </c>
      <c r="K51" s="2" t="s">
        <v>32</v>
      </c>
      <c r="L51" s="2"/>
      <c r="M51" s="2"/>
      <c r="N51" s="2" t="s">
        <v>42</v>
      </c>
      <c r="O51" s="2"/>
      <c r="P51" s="2" t="s">
        <v>182</v>
      </c>
      <c r="Q51" s="2" t="s">
        <v>183</v>
      </c>
      <c r="R51" s="2" t="s">
        <v>35</v>
      </c>
      <c r="S51" s="2"/>
      <c r="T51" s="2" t="s">
        <v>36</v>
      </c>
      <c r="U51" s="2">
        <v>0.5</v>
      </c>
      <c r="V51" s="2" t="s">
        <v>37</v>
      </c>
      <c r="W51" s="2" t="s">
        <v>184</v>
      </c>
      <c r="X51" s="2" t="s">
        <v>38</v>
      </c>
      <c r="Y51" s="2" t="s">
        <v>53</v>
      </c>
      <c r="Z51" s="2">
        <v>1.004</v>
      </c>
      <c r="AA51" s="2">
        <v>0.996</v>
      </c>
      <c r="AB51" s="2">
        <v>1.01</v>
      </c>
    </row>
    <row r="52" spans="1:28">
      <c r="A52" s="2">
        <v>735</v>
      </c>
      <c r="B52" s="2">
        <v>2</v>
      </c>
      <c r="C52" s="2"/>
      <c r="D52" s="2">
        <v>2011</v>
      </c>
      <c r="E52" s="2"/>
      <c r="F52" s="2" t="s">
        <v>54</v>
      </c>
      <c r="G52" s="2" t="s">
        <v>181</v>
      </c>
      <c r="H52" s="2" t="s">
        <v>181</v>
      </c>
      <c r="I52" s="2" t="s">
        <v>30</v>
      </c>
      <c r="J52" s="2" t="s">
        <v>77</v>
      </c>
      <c r="K52" s="2" t="s">
        <v>32</v>
      </c>
      <c r="L52" s="2"/>
      <c r="M52" s="2"/>
      <c r="N52" s="2" t="s">
        <v>42</v>
      </c>
      <c r="O52" s="2"/>
      <c r="P52" s="2"/>
      <c r="Q52" s="2"/>
      <c r="R52" s="2" t="s">
        <v>35</v>
      </c>
      <c r="S52" s="2"/>
      <c r="T52" s="2" t="s">
        <v>36</v>
      </c>
      <c r="U52" s="2">
        <v>0.5</v>
      </c>
      <c r="V52" s="2" t="s">
        <v>37</v>
      </c>
      <c r="W52" s="2" t="s">
        <v>184</v>
      </c>
      <c r="X52" s="2" t="s">
        <v>38</v>
      </c>
      <c r="Y52" s="2" t="s">
        <v>53</v>
      </c>
      <c r="Z52" s="2">
        <v>1.011</v>
      </c>
      <c r="AA52" s="2">
        <v>1.005</v>
      </c>
      <c r="AB52" s="2">
        <v>1.017</v>
      </c>
    </row>
    <row r="53" spans="1:28">
      <c r="A53" s="2">
        <v>813</v>
      </c>
      <c r="B53" s="2">
        <v>1</v>
      </c>
      <c r="C53" s="2" t="s">
        <v>185</v>
      </c>
      <c r="D53" s="2">
        <v>2020</v>
      </c>
      <c r="E53" s="2"/>
      <c r="F53" s="2" t="s">
        <v>45</v>
      </c>
      <c r="G53" s="2" t="s">
        <v>186</v>
      </c>
      <c r="H53" s="2" t="s">
        <v>187</v>
      </c>
      <c r="I53" s="2" t="s">
        <v>30</v>
      </c>
      <c r="J53" s="2" t="s">
        <v>122</v>
      </c>
      <c r="K53" s="2" t="s">
        <v>32</v>
      </c>
      <c r="L53" s="2">
        <v>43111</v>
      </c>
      <c r="M53" s="2">
        <v>0.47</v>
      </c>
      <c r="N53" s="2" t="s">
        <v>170</v>
      </c>
      <c r="O53" s="2"/>
      <c r="P53" s="2" t="s">
        <v>188</v>
      </c>
      <c r="Q53" s="2" t="s">
        <v>189</v>
      </c>
      <c r="R53" s="2" t="s">
        <v>35</v>
      </c>
      <c r="S53" s="2"/>
      <c r="T53" s="2">
        <v>1</v>
      </c>
      <c r="U53" s="2">
        <v>0.5</v>
      </c>
      <c r="V53" s="2" t="s">
        <v>37</v>
      </c>
      <c r="W53" s="2" t="s">
        <v>190</v>
      </c>
      <c r="X53" s="2" t="s">
        <v>38</v>
      </c>
      <c r="Y53" s="2" t="s">
        <v>85</v>
      </c>
      <c r="Z53" s="2">
        <v>1.007</v>
      </c>
      <c r="AA53" s="2">
        <v>0.985</v>
      </c>
      <c r="AB53" s="2">
        <v>1.029</v>
      </c>
    </row>
    <row r="54" spans="1:28">
      <c r="A54" s="2">
        <v>813</v>
      </c>
      <c r="B54" s="2">
        <v>2</v>
      </c>
      <c r="C54" s="2"/>
      <c r="D54" s="2">
        <v>2020</v>
      </c>
      <c r="E54" s="2"/>
      <c r="F54" s="2" t="s">
        <v>54</v>
      </c>
      <c r="G54" s="2" t="s">
        <v>186</v>
      </c>
      <c r="H54" s="2" t="s">
        <v>187</v>
      </c>
      <c r="I54" s="2" t="s">
        <v>30</v>
      </c>
      <c r="J54" s="2" t="s">
        <v>122</v>
      </c>
      <c r="K54" s="2" t="s">
        <v>32</v>
      </c>
      <c r="L54" s="2"/>
      <c r="M54" s="2">
        <v>0.47</v>
      </c>
      <c r="N54" s="2" t="s">
        <v>170</v>
      </c>
      <c r="O54" s="2"/>
      <c r="P54" s="2"/>
      <c r="Q54" s="2" t="s">
        <v>189</v>
      </c>
      <c r="R54" s="2" t="s">
        <v>35</v>
      </c>
      <c r="S54" s="2"/>
      <c r="T54" s="2">
        <v>1</v>
      </c>
      <c r="U54" s="2">
        <v>0.5</v>
      </c>
      <c r="V54" s="2" t="s">
        <v>37</v>
      </c>
      <c r="W54" s="2" t="s">
        <v>191</v>
      </c>
      <c r="X54" s="2" t="s">
        <v>38</v>
      </c>
      <c r="Y54" s="2" t="s">
        <v>85</v>
      </c>
      <c r="Z54" s="2">
        <v>1.024</v>
      </c>
      <c r="AA54" s="2">
        <v>1.009</v>
      </c>
      <c r="AB54" s="2">
        <v>1.039</v>
      </c>
    </row>
    <row r="55" spans="1:28">
      <c r="A55" s="2">
        <v>813</v>
      </c>
      <c r="B55" s="2">
        <v>3</v>
      </c>
      <c r="C55" s="2"/>
      <c r="D55" s="2">
        <v>2020</v>
      </c>
      <c r="E55" s="2"/>
      <c r="F55" s="2" t="s">
        <v>54</v>
      </c>
      <c r="G55" s="2" t="s">
        <v>186</v>
      </c>
      <c r="H55" s="2" t="s">
        <v>187</v>
      </c>
      <c r="I55" s="2" t="s">
        <v>30</v>
      </c>
      <c r="J55" s="2" t="s">
        <v>122</v>
      </c>
      <c r="K55" s="2" t="s">
        <v>32</v>
      </c>
      <c r="L55" s="2"/>
      <c r="M55" s="2">
        <v>0.47</v>
      </c>
      <c r="N55" s="2" t="s">
        <v>170</v>
      </c>
      <c r="O55" s="2"/>
      <c r="P55" s="2"/>
      <c r="Q55" s="2" t="s">
        <v>189</v>
      </c>
      <c r="R55" s="2" t="s">
        <v>35</v>
      </c>
      <c r="S55" s="2"/>
      <c r="T55" s="2">
        <v>1</v>
      </c>
      <c r="U55" s="2">
        <v>0.5</v>
      </c>
      <c r="V55" s="2" t="s">
        <v>37</v>
      </c>
      <c r="W55" s="2" t="s">
        <v>192</v>
      </c>
      <c r="X55" s="2" t="s">
        <v>38</v>
      </c>
      <c r="Y55" s="2" t="s">
        <v>85</v>
      </c>
      <c r="Z55" s="2">
        <v>1.023</v>
      </c>
      <c r="AA55" s="2">
        <v>1.011</v>
      </c>
      <c r="AB55" s="2">
        <v>1.035</v>
      </c>
    </row>
    <row r="56" spans="1:28">
      <c r="A56" s="2">
        <v>813</v>
      </c>
      <c r="B56" s="2">
        <v>4</v>
      </c>
      <c r="C56" s="2" t="s">
        <v>185</v>
      </c>
      <c r="D56" s="2">
        <v>2020</v>
      </c>
      <c r="E56" s="2"/>
      <c r="F56" s="2" t="s">
        <v>45</v>
      </c>
      <c r="G56" s="2" t="s">
        <v>186</v>
      </c>
      <c r="H56" s="2" t="s">
        <v>187</v>
      </c>
      <c r="I56" s="2" t="s">
        <v>30</v>
      </c>
      <c r="J56" s="2" t="s">
        <v>122</v>
      </c>
      <c r="K56" s="2" t="s">
        <v>32</v>
      </c>
      <c r="L56" s="2">
        <v>43111</v>
      </c>
      <c r="M56" s="2">
        <v>0.47</v>
      </c>
      <c r="N56" s="2" t="s">
        <v>170</v>
      </c>
      <c r="O56" s="2"/>
      <c r="P56" s="2" t="s">
        <v>188</v>
      </c>
      <c r="Q56" s="2" t="s">
        <v>189</v>
      </c>
      <c r="R56" s="2" t="s">
        <v>35</v>
      </c>
      <c r="S56" s="2"/>
      <c r="T56" s="2">
        <v>1</v>
      </c>
      <c r="U56" s="2">
        <v>0.5</v>
      </c>
      <c r="V56" s="2" t="s">
        <v>37</v>
      </c>
      <c r="W56" s="2" t="s">
        <v>190</v>
      </c>
      <c r="X56" s="2" t="s">
        <v>38</v>
      </c>
      <c r="Y56" s="2" t="s">
        <v>85</v>
      </c>
      <c r="Z56" s="2">
        <v>1.065</v>
      </c>
      <c r="AA56" s="2">
        <v>0.992</v>
      </c>
      <c r="AB56" s="2">
        <v>1.142</v>
      </c>
    </row>
    <row r="57" spans="1:28">
      <c r="A57" s="2">
        <v>813</v>
      </c>
      <c r="B57" s="2">
        <v>5</v>
      </c>
      <c r="C57" s="2"/>
      <c r="D57" s="2">
        <v>2020</v>
      </c>
      <c r="E57" s="2"/>
      <c r="F57" s="2" t="s">
        <v>54</v>
      </c>
      <c r="G57" s="2" t="s">
        <v>186</v>
      </c>
      <c r="H57" s="2" t="s">
        <v>187</v>
      </c>
      <c r="I57" s="2" t="s">
        <v>30</v>
      </c>
      <c r="J57" s="2" t="s">
        <v>122</v>
      </c>
      <c r="K57" s="2" t="s">
        <v>32</v>
      </c>
      <c r="L57" s="2"/>
      <c r="M57" s="2">
        <v>0.47</v>
      </c>
      <c r="N57" s="2" t="s">
        <v>170</v>
      </c>
      <c r="O57" s="2"/>
      <c r="P57" s="2"/>
      <c r="Q57" s="2" t="s">
        <v>189</v>
      </c>
      <c r="R57" s="2" t="s">
        <v>35</v>
      </c>
      <c r="S57" s="2"/>
      <c r="T57" s="2">
        <v>1</v>
      </c>
      <c r="U57" s="2">
        <v>0.5</v>
      </c>
      <c r="V57" s="2" t="s">
        <v>37</v>
      </c>
      <c r="W57" s="2" t="s">
        <v>191</v>
      </c>
      <c r="X57" s="2" t="s">
        <v>38</v>
      </c>
      <c r="Y57" s="2" t="s">
        <v>85</v>
      </c>
      <c r="Z57" s="2">
        <v>1.048</v>
      </c>
      <c r="AA57" s="2">
        <v>0.995</v>
      </c>
      <c r="AB57" s="2">
        <v>1.104</v>
      </c>
    </row>
    <row r="58" spans="1:28">
      <c r="A58" s="2">
        <v>813</v>
      </c>
      <c r="B58" s="2">
        <v>6</v>
      </c>
      <c r="C58" s="2"/>
      <c r="D58" s="2">
        <v>2020</v>
      </c>
      <c r="E58" s="2"/>
      <c r="F58" s="2" t="s">
        <v>54</v>
      </c>
      <c r="G58" s="2" t="s">
        <v>186</v>
      </c>
      <c r="H58" s="2" t="s">
        <v>187</v>
      </c>
      <c r="I58" s="2" t="s">
        <v>30</v>
      </c>
      <c r="J58" s="2" t="s">
        <v>122</v>
      </c>
      <c r="K58" s="2" t="s">
        <v>32</v>
      </c>
      <c r="L58" s="2"/>
      <c r="M58" s="2">
        <v>0.47</v>
      </c>
      <c r="N58" s="2" t="s">
        <v>170</v>
      </c>
      <c r="O58" s="2"/>
      <c r="P58" s="2"/>
      <c r="Q58" s="2" t="s">
        <v>189</v>
      </c>
      <c r="R58" s="2" t="s">
        <v>35</v>
      </c>
      <c r="S58" s="2"/>
      <c r="T58" s="2">
        <v>1</v>
      </c>
      <c r="U58" s="2">
        <v>0.5</v>
      </c>
      <c r="V58" s="2" t="s">
        <v>37</v>
      </c>
      <c r="W58" s="2" t="s">
        <v>192</v>
      </c>
      <c r="X58" s="2" t="s">
        <v>38</v>
      </c>
      <c r="Y58" s="2" t="s">
        <v>85</v>
      </c>
      <c r="Z58" s="2">
        <v>1.046</v>
      </c>
      <c r="AA58" s="2">
        <v>0.992</v>
      </c>
      <c r="AB58" s="2">
        <v>1.103</v>
      </c>
    </row>
    <row r="59" ht="15" spans="1:28">
      <c r="A59" s="2">
        <v>876</v>
      </c>
      <c r="B59" s="2">
        <v>1</v>
      </c>
      <c r="C59" s="2"/>
      <c r="D59" s="2">
        <v>2014</v>
      </c>
      <c r="E59" s="2"/>
      <c r="F59" s="2" t="s">
        <v>45</v>
      </c>
      <c r="G59" s="2" t="s">
        <v>193</v>
      </c>
      <c r="H59" s="2" t="s">
        <v>47</v>
      </c>
      <c r="I59" s="2" t="s">
        <v>30</v>
      </c>
      <c r="J59" s="2" t="s">
        <v>48</v>
      </c>
      <c r="K59" s="2" t="s">
        <v>32</v>
      </c>
      <c r="L59" s="2"/>
      <c r="M59" s="2"/>
      <c r="N59" s="2" t="s">
        <v>42</v>
      </c>
      <c r="O59" s="2"/>
      <c r="P59" s="2"/>
      <c r="Q59" s="2" t="s">
        <v>194</v>
      </c>
      <c r="R59" s="2" t="s">
        <v>35</v>
      </c>
      <c r="S59" s="2"/>
      <c r="T59" s="2" t="s">
        <v>36</v>
      </c>
      <c r="U59" s="2">
        <v>0.5</v>
      </c>
      <c r="V59" s="2" t="s">
        <v>37</v>
      </c>
      <c r="W59" s="2" t="s">
        <v>118</v>
      </c>
      <c r="X59" s="2" t="s">
        <v>38</v>
      </c>
      <c r="Y59" s="2" t="s">
        <v>195</v>
      </c>
      <c r="Z59" s="2">
        <v>1.021</v>
      </c>
      <c r="AA59" s="2">
        <v>1.007</v>
      </c>
      <c r="AB59" s="2">
        <v>1.036</v>
      </c>
    </row>
    <row r="60" ht="15" spans="1:28">
      <c r="A60" s="2">
        <v>876</v>
      </c>
      <c r="B60" s="2">
        <v>2</v>
      </c>
      <c r="C60" s="2"/>
      <c r="D60" s="2">
        <v>2014</v>
      </c>
      <c r="E60" s="2"/>
      <c r="F60" s="2" t="s">
        <v>45</v>
      </c>
      <c r="G60" s="2" t="s">
        <v>196</v>
      </c>
      <c r="H60" s="2" t="s">
        <v>47</v>
      </c>
      <c r="I60" s="2" t="s">
        <v>30</v>
      </c>
      <c r="J60" s="2" t="s">
        <v>48</v>
      </c>
      <c r="K60" s="2" t="s">
        <v>32</v>
      </c>
      <c r="L60" s="2"/>
      <c r="M60" s="2"/>
      <c r="N60" s="2" t="s">
        <v>42</v>
      </c>
      <c r="O60" s="2"/>
      <c r="P60" s="2"/>
      <c r="Q60" s="2" t="s">
        <v>194</v>
      </c>
      <c r="R60" s="2" t="s">
        <v>35</v>
      </c>
      <c r="S60" s="2"/>
      <c r="T60" s="2" t="s">
        <v>36</v>
      </c>
      <c r="U60" s="2">
        <v>0.5</v>
      </c>
      <c r="V60" s="2" t="s">
        <v>37</v>
      </c>
      <c r="W60" s="2" t="s">
        <v>118</v>
      </c>
      <c r="X60" s="2" t="s">
        <v>38</v>
      </c>
      <c r="Y60" s="2" t="s">
        <v>195</v>
      </c>
      <c r="Z60" s="2">
        <v>1.006</v>
      </c>
      <c r="AA60" s="2">
        <v>0.997</v>
      </c>
      <c r="AB60" s="2">
        <v>1.015</v>
      </c>
    </row>
    <row r="61" ht="15" spans="1:28">
      <c r="A61" s="2">
        <v>876</v>
      </c>
      <c r="B61" s="2">
        <v>3</v>
      </c>
      <c r="C61" s="2"/>
      <c r="D61" s="2">
        <v>2014</v>
      </c>
      <c r="E61" s="2"/>
      <c r="F61" s="2" t="s">
        <v>45</v>
      </c>
      <c r="G61" s="2" t="s">
        <v>197</v>
      </c>
      <c r="H61" s="2" t="s">
        <v>47</v>
      </c>
      <c r="I61" s="2" t="s">
        <v>30</v>
      </c>
      <c r="J61" s="2" t="s">
        <v>48</v>
      </c>
      <c r="K61" s="2" t="s">
        <v>32</v>
      </c>
      <c r="L61" s="2"/>
      <c r="M61" s="2"/>
      <c r="N61" s="2" t="s">
        <v>42</v>
      </c>
      <c r="O61" s="2"/>
      <c r="P61" s="2"/>
      <c r="Q61" s="2" t="s">
        <v>194</v>
      </c>
      <c r="R61" s="2" t="s">
        <v>35</v>
      </c>
      <c r="S61" s="2"/>
      <c r="T61" s="2" t="s">
        <v>36</v>
      </c>
      <c r="U61" s="2">
        <v>0.5</v>
      </c>
      <c r="V61" s="2" t="s">
        <v>37</v>
      </c>
      <c r="W61" s="2" t="s">
        <v>118</v>
      </c>
      <c r="X61" s="2" t="s">
        <v>38</v>
      </c>
      <c r="Y61" s="2" t="s">
        <v>195</v>
      </c>
      <c r="Z61" s="2">
        <v>1.024</v>
      </c>
      <c r="AA61" s="2">
        <v>1.013</v>
      </c>
      <c r="AB61" s="2">
        <v>1.036</v>
      </c>
    </row>
    <row r="62" ht="15" spans="1:28">
      <c r="A62" s="2">
        <v>876</v>
      </c>
      <c r="B62" s="2">
        <v>4</v>
      </c>
      <c r="C62" s="2"/>
      <c r="D62" s="2">
        <v>2014</v>
      </c>
      <c r="E62" s="2"/>
      <c r="F62" s="2" t="s">
        <v>45</v>
      </c>
      <c r="G62" s="2" t="s">
        <v>198</v>
      </c>
      <c r="H62" s="2" t="s">
        <v>47</v>
      </c>
      <c r="I62" s="2" t="s">
        <v>30</v>
      </c>
      <c r="J62" s="2" t="s">
        <v>48</v>
      </c>
      <c r="K62" s="2" t="s">
        <v>32</v>
      </c>
      <c r="L62" s="2"/>
      <c r="M62" s="2"/>
      <c r="N62" s="2" t="s">
        <v>42</v>
      </c>
      <c r="O62" s="2"/>
      <c r="P62" s="2"/>
      <c r="Q62" s="2" t="s">
        <v>194</v>
      </c>
      <c r="R62" s="2" t="s">
        <v>35</v>
      </c>
      <c r="S62" s="2"/>
      <c r="T62" s="2" t="s">
        <v>36</v>
      </c>
      <c r="U62" s="2">
        <v>0.5</v>
      </c>
      <c r="V62" s="2" t="s">
        <v>37</v>
      </c>
      <c r="W62" s="2" t="s">
        <v>118</v>
      </c>
      <c r="X62" s="2" t="s">
        <v>38</v>
      </c>
      <c r="Y62" s="2" t="s">
        <v>195</v>
      </c>
      <c r="Z62" s="2">
        <v>1.015</v>
      </c>
      <c r="AA62" s="2">
        <v>1.003</v>
      </c>
      <c r="AB62" s="2">
        <v>1.027</v>
      </c>
    </row>
    <row r="63" ht="15" spans="1:28">
      <c r="A63" s="2">
        <v>876</v>
      </c>
      <c r="B63" s="2">
        <v>5</v>
      </c>
      <c r="C63" s="2"/>
      <c r="D63" s="2">
        <v>2014</v>
      </c>
      <c r="E63" s="2"/>
      <c r="F63" s="2" t="s">
        <v>45</v>
      </c>
      <c r="G63" s="2" t="s">
        <v>56</v>
      </c>
      <c r="H63" s="2" t="s">
        <v>47</v>
      </c>
      <c r="I63" s="2" t="s">
        <v>30</v>
      </c>
      <c r="J63" s="2" t="s">
        <v>48</v>
      </c>
      <c r="K63" s="2" t="s">
        <v>32</v>
      </c>
      <c r="L63" s="2"/>
      <c r="M63" s="2"/>
      <c r="N63" s="2" t="s">
        <v>42</v>
      </c>
      <c r="O63" s="2"/>
      <c r="P63" s="2"/>
      <c r="Q63" s="2" t="s">
        <v>194</v>
      </c>
      <c r="R63" s="2" t="s">
        <v>35</v>
      </c>
      <c r="S63" s="2"/>
      <c r="T63" s="2" t="s">
        <v>36</v>
      </c>
      <c r="U63" s="2">
        <v>0.5</v>
      </c>
      <c r="V63" s="2" t="s">
        <v>37</v>
      </c>
      <c r="W63" s="2" t="s">
        <v>118</v>
      </c>
      <c r="X63" s="2" t="s">
        <v>38</v>
      </c>
      <c r="Y63" s="2" t="s">
        <v>195</v>
      </c>
      <c r="Z63" s="2">
        <v>1.024</v>
      </c>
      <c r="AA63" s="2">
        <v>1.014</v>
      </c>
      <c r="AB63" s="2">
        <v>1.034</v>
      </c>
    </row>
    <row r="64" ht="15" spans="1:28">
      <c r="A64" s="2">
        <v>876</v>
      </c>
      <c r="B64" s="2">
        <v>6</v>
      </c>
      <c r="C64" s="2"/>
      <c r="D64" s="2">
        <v>2014</v>
      </c>
      <c r="E64" s="2"/>
      <c r="F64" s="2" t="s">
        <v>45</v>
      </c>
      <c r="G64" s="2" t="s">
        <v>199</v>
      </c>
      <c r="H64" s="2" t="s">
        <v>47</v>
      </c>
      <c r="I64" s="2" t="s">
        <v>30</v>
      </c>
      <c r="J64" s="2" t="s">
        <v>48</v>
      </c>
      <c r="K64" s="2" t="s">
        <v>32</v>
      </c>
      <c r="L64" s="2"/>
      <c r="M64" s="2"/>
      <c r="N64" s="2" t="s">
        <v>42</v>
      </c>
      <c r="O64" s="2"/>
      <c r="P64" s="2"/>
      <c r="Q64" s="2" t="s">
        <v>194</v>
      </c>
      <c r="R64" s="2" t="s">
        <v>35</v>
      </c>
      <c r="S64" s="2"/>
      <c r="T64" s="2" t="s">
        <v>36</v>
      </c>
      <c r="U64" s="2">
        <v>0.5</v>
      </c>
      <c r="V64" s="2" t="s">
        <v>37</v>
      </c>
      <c r="W64" s="2" t="s">
        <v>118</v>
      </c>
      <c r="X64" s="2" t="s">
        <v>38</v>
      </c>
      <c r="Y64" s="2" t="s">
        <v>195</v>
      </c>
      <c r="Z64" s="2">
        <v>1.016</v>
      </c>
      <c r="AA64" s="2">
        <v>1.005</v>
      </c>
      <c r="AB64" s="2">
        <v>1.028</v>
      </c>
    </row>
    <row r="65" ht="15" spans="1:28">
      <c r="A65" s="2">
        <v>876</v>
      </c>
      <c r="B65" s="2">
        <v>7</v>
      </c>
      <c r="C65" s="2"/>
      <c r="D65" s="2">
        <v>2014</v>
      </c>
      <c r="E65" s="2"/>
      <c r="F65" s="2" t="s">
        <v>45</v>
      </c>
      <c r="G65" s="2" t="s">
        <v>200</v>
      </c>
      <c r="H65" s="2" t="s">
        <v>201</v>
      </c>
      <c r="I65" s="2" t="s">
        <v>30</v>
      </c>
      <c r="J65" s="2" t="s">
        <v>48</v>
      </c>
      <c r="K65" s="2" t="s">
        <v>32</v>
      </c>
      <c r="L65" s="2"/>
      <c r="M65" s="2"/>
      <c r="N65" s="2" t="s">
        <v>42</v>
      </c>
      <c r="O65" s="2"/>
      <c r="P65" s="2"/>
      <c r="Q65" s="2" t="s">
        <v>194</v>
      </c>
      <c r="R65" s="2" t="s">
        <v>35</v>
      </c>
      <c r="S65" s="2"/>
      <c r="T65" s="2" t="s">
        <v>36</v>
      </c>
      <c r="U65" s="2">
        <v>0.5</v>
      </c>
      <c r="V65" s="2" t="s">
        <v>37</v>
      </c>
      <c r="W65" s="2" t="s">
        <v>118</v>
      </c>
      <c r="X65" s="2" t="s">
        <v>38</v>
      </c>
      <c r="Y65" s="2" t="s">
        <v>195</v>
      </c>
      <c r="Z65" s="2">
        <v>1.025</v>
      </c>
      <c r="AA65" s="2">
        <v>1.016</v>
      </c>
      <c r="AB65" s="2">
        <v>1.034</v>
      </c>
    </row>
    <row r="66" ht="15" spans="1:28">
      <c r="A66" s="2">
        <v>876</v>
      </c>
      <c r="B66" s="2">
        <v>8</v>
      </c>
      <c r="C66" s="2"/>
      <c r="D66" s="2">
        <v>2014</v>
      </c>
      <c r="E66" s="2"/>
      <c r="F66" s="2" t="s">
        <v>45</v>
      </c>
      <c r="G66" s="2" t="s">
        <v>202</v>
      </c>
      <c r="H66" s="2" t="s">
        <v>47</v>
      </c>
      <c r="I66" s="2" t="s">
        <v>30</v>
      </c>
      <c r="J66" s="2" t="s">
        <v>48</v>
      </c>
      <c r="K66" s="2" t="s">
        <v>32</v>
      </c>
      <c r="L66" s="2"/>
      <c r="M66" s="2"/>
      <c r="N66" s="2" t="s">
        <v>42</v>
      </c>
      <c r="O66" s="2"/>
      <c r="P66" s="2"/>
      <c r="Q66" s="2" t="s">
        <v>194</v>
      </c>
      <c r="R66" s="2" t="s">
        <v>35</v>
      </c>
      <c r="S66" s="2"/>
      <c r="T66" s="2" t="s">
        <v>36</v>
      </c>
      <c r="U66" s="2">
        <v>0.5</v>
      </c>
      <c r="V66" s="2" t="s">
        <v>37</v>
      </c>
      <c r="W66" s="2" t="s">
        <v>118</v>
      </c>
      <c r="X66" s="2" t="s">
        <v>38</v>
      </c>
      <c r="Y66" s="2" t="s">
        <v>195</v>
      </c>
      <c r="Z66" s="2">
        <v>1.025</v>
      </c>
      <c r="AA66" s="2">
        <v>1.016</v>
      </c>
      <c r="AB66" s="2">
        <v>1.035</v>
      </c>
    </row>
    <row r="67" ht="15" spans="1:28">
      <c r="A67" s="2">
        <v>876</v>
      </c>
      <c r="B67" s="2">
        <v>9</v>
      </c>
      <c r="C67" s="2"/>
      <c r="D67" s="2">
        <v>2014</v>
      </c>
      <c r="E67" s="2"/>
      <c r="F67" s="2" t="s">
        <v>45</v>
      </c>
      <c r="G67" s="2" t="s">
        <v>203</v>
      </c>
      <c r="H67" s="2" t="s">
        <v>47</v>
      </c>
      <c r="I67" s="2" t="s">
        <v>30</v>
      </c>
      <c r="J67" s="2" t="s">
        <v>48</v>
      </c>
      <c r="K67" s="2" t="s">
        <v>32</v>
      </c>
      <c r="L67" s="2"/>
      <c r="M67" s="2"/>
      <c r="N67" s="2" t="s">
        <v>42</v>
      </c>
      <c r="O67" s="2"/>
      <c r="P67" s="2"/>
      <c r="Q67" s="2" t="s">
        <v>194</v>
      </c>
      <c r="R67" s="2" t="s">
        <v>35</v>
      </c>
      <c r="S67" s="2"/>
      <c r="T67" s="2" t="s">
        <v>36</v>
      </c>
      <c r="U67" s="2">
        <v>0.5</v>
      </c>
      <c r="V67" s="2" t="s">
        <v>37</v>
      </c>
      <c r="W67" s="2" t="s">
        <v>118</v>
      </c>
      <c r="X67" s="2" t="s">
        <v>38</v>
      </c>
      <c r="Y67" s="2" t="s">
        <v>195</v>
      </c>
      <c r="Z67" s="2">
        <v>1.023</v>
      </c>
      <c r="AA67" s="2">
        <v>1.01</v>
      </c>
      <c r="AB67" s="2">
        <v>1.036</v>
      </c>
    </row>
    <row r="68" ht="15" spans="1:28">
      <c r="A68" s="2">
        <v>876</v>
      </c>
      <c r="B68" s="2">
        <v>10</v>
      </c>
      <c r="C68" s="2"/>
      <c r="D68" s="2">
        <v>2014</v>
      </c>
      <c r="E68" s="2"/>
      <c r="F68" s="2" t="s">
        <v>45</v>
      </c>
      <c r="G68" s="2" t="s">
        <v>204</v>
      </c>
      <c r="H68" s="2" t="s">
        <v>47</v>
      </c>
      <c r="I68" s="2" t="s">
        <v>30</v>
      </c>
      <c r="J68" s="2" t="s">
        <v>48</v>
      </c>
      <c r="K68" s="2" t="s">
        <v>32</v>
      </c>
      <c r="L68" s="2"/>
      <c r="M68" s="2"/>
      <c r="N68" s="2" t="s">
        <v>42</v>
      </c>
      <c r="O68" s="2"/>
      <c r="P68" s="2"/>
      <c r="Q68" s="2" t="s">
        <v>194</v>
      </c>
      <c r="R68" s="2" t="s">
        <v>35</v>
      </c>
      <c r="S68" s="2"/>
      <c r="T68" s="2" t="s">
        <v>36</v>
      </c>
      <c r="U68" s="2">
        <v>0.5</v>
      </c>
      <c r="V68" s="2" t="s">
        <v>37</v>
      </c>
      <c r="W68" s="2" t="s">
        <v>118</v>
      </c>
      <c r="X68" s="2" t="s">
        <v>38</v>
      </c>
      <c r="Y68" s="2" t="s">
        <v>195</v>
      </c>
      <c r="Z68" s="2">
        <v>1.015</v>
      </c>
      <c r="AA68" s="2">
        <v>1.002</v>
      </c>
      <c r="AB68" s="2">
        <v>1.029</v>
      </c>
    </row>
    <row r="69" ht="15" spans="1:28">
      <c r="A69" s="2">
        <v>876</v>
      </c>
      <c r="B69" s="2">
        <v>11</v>
      </c>
      <c r="C69" s="2"/>
      <c r="D69" s="2">
        <v>2014</v>
      </c>
      <c r="E69" s="2"/>
      <c r="F69" s="2" t="s">
        <v>54</v>
      </c>
      <c r="G69" s="2" t="s">
        <v>193</v>
      </c>
      <c r="H69" s="2" t="s">
        <v>47</v>
      </c>
      <c r="I69" s="2" t="s">
        <v>30</v>
      </c>
      <c r="J69" s="2" t="s">
        <v>48</v>
      </c>
      <c r="K69" s="2" t="s">
        <v>32</v>
      </c>
      <c r="L69" s="2"/>
      <c r="M69" s="2"/>
      <c r="N69" s="2" t="s">
        <v>42</v>
      </c>
      <c r="O69" s="2"/>
      <c r="P69" s="2"/>
      <c r="Q69" s="2" t="s">
        <v>194</v>
      </c>
      <c r="R69" s="2" t="s">
        <v>35</v>
      </c>
      <c r="S69" s="2"/>
      <c r="T69" s="2" t="s">
        <v>36</v>
      </c>
      <c r="U69" s="2">
        <v>0.5</v>
      </c>
      <c r="V69" s="2" t="s">
        <v>37</v>
      </c>
      <c r="W69" s="2" t="s">
        <v>118</v>
      </c>
      <c r="X69" s="2" t="s">
        <v>38</v>
      </c>
      <c r="Y69" s="2" t="s">
        <v>195</v>
      </c>
      <c r="Z69" s="2">
        <v>1.02</v>
      </c>
      <c r="AA69" s="2">
        <v>1.008</v>
      </c>
      <c r="AB69" s="2">
        <v>1.033</v>
      </c>
    </row>
    <row r="70" ht="15" spans="1:28">
      <c r="A70" s="2">
        <v>876</v>
      </c>
      <c r="B70" s="2">
        <v>12</v>
      </c>
      <c r="C70" s="2"/>
      <c r="D70" s="2">
        <v>2014</v>
      </c>
      <c r="E70" s="2"/>
      <c r="F70" s="2" t="s">
        <v>54</v>
      </c>
      <c r="G70" s="2" t="s">
        <v>196</v>
      </c>
      <c r="H70" s="2" t="s">
        <v>47</v>
      </c>
      <c r="I70" s="2" t="s">
        <v>30</v>
      </c>
      <c r="J70" s="2" t="s">
        <v>48</v>
      </c>
      <c r="K70" s="2" t="s">
        <v>32</v>
      </c>
      <c r="L70" s="2"/>
      <c r="M70" s="2"/>
      <c r="N70" s="2" t="s">
        <v>42</v>
      </c>
      <c r="O70" s="2"/>
      <c r="P70" s="2"/>
      <c r="Q70" s="2" t="s">
        <v>194</v>
      </c>
      <c r="R70" s="2" t="s">
        <v>35</v>
      </c>
      <c r="S70" s="2"/>
      <c r="T70" s="2" t="s">
        <v>36</v>
      </c>
      <c r="U70" s="2">
        <v>0.5</v>
      </c>
      <c r="V70" s="2" t="s">
        <v>37</v>
      </c>
      <c r="W70" s="2" t="s">
        <v>118</v>
      </c>
      <c r="X70" s="2" t="s">
        <v>38</v>
      </c>
      <c r="Y70" s="2" t="s">
        <v>195</v>
      </c>
      <c r="Z70" s="2">
        <v>1.01</v>
      </c>
      <c r="AA70" s="2">
        <v>1.003</v>
      </c>
      <c r="AB70" s="2">
        <v>1.018</v>
      </c>
    </row>
    <row r="71" ht="15" spans="1:28">
      <c r="A71" s="2">
        <v>876</v>
      </c>
      <c r="B71" s="2">
        <v>13</v>
      </c>
      <c r="C71" s="2"/>
      <c r="D71" s="2">
        <v>2014</v>
      </c>
      <c r="E71" s="2"/>
      <c r="F71" s="2" t="s">
        <v>54</v>
      </c>
      <c r="G71" s="2" t="s">
        <v>197</v>
      </c>
      <c r="H71" s="2" t="s">
        <v>47</v>
      </c>
      <c r="I71" s="2" t="s">
        <v>30</v>
      </c>
      <c r="J71" s="2" t="s">
        <v>48</v>
      </c>
      <c r="K71" s="2" t="s">
        <v>32</v>
      </c>
      <c r="L71" s="2"/>
      <c r="M71" s="2"/>
      <c r="N71" s="2" t="s">
        <v>42</v>
      </c>
      <c r="O71" s="2"/>
      <c r="P71" s="2"/>
      <c r="Q71" s="2" t="s">
        <v>194</v>
      </c>
      <c r="R71" s="2" t="s">
        <v>35</v>
      </c>
      <c r="S71" s="2"/>
      <c r="T71" s="2" t="s">
        <v>36</v>
      </c>
      <c r="U71" s="2">
        <v>0.5</v>
      </c>
      <c r="V71" s="2" t="s">
        <v>37</v>
      </c>
      <c r="W71" s="2" t="s">
        <v>118</v>
      </c>
      <c r="X71" s="2" t="s">
        <v>38</v>
      </c>
      <c r="Y71" s="2" t="s">
        <v>195</v>
      </c>
      <c r="Z71" s="2">
        <v>1.016</v>
      </c>
      <c r="AA71" s="2">
        <v>1.008</v>
      </c>
      <c r="AB71" s="2">
        <v>1.025</v>
      </c>
    </row>
    <row r="72" ht="15" spans="1:28">
      <c r="A72" s="2">
        <v>876</v>
      </c>
      <c r="B72" s="2">
        <v>14</v>
      </c>
      <c r="C72" s="2"/>
      <c r="D72" s="2">
        <v>2014</v>
      </c>
      <c r="E72" s="2"/>
      <c r="F72" s="2" t="s">
        <v>54</v>
      </c>
      <c r="G72" s="2" t="s">
        <v>198</v>
      </c>
      <c r="H72" s="2" t="s">
        <v>47</v>
      </c>
      <c r="I72" s="2" t="s">
        <v>30</v>
      </c>
      <c r="J72" s="2" t="s">
        <v>48</v>
      </c>
      <c r="K72" s="2" t="s">
        <v>32</v>
      </c>
      <c r="L72" s="2"/>
      <c r="M72" s="2"/>
      <c r="N72" s="2" t="s">
        <v>42</v>
      </c>
      <c r="O72" s="2"/>
      <c r="P72" s="2"/>
      <c r="Q72" s="2" t="s">
        <v>194</v>
      </c>
      <c r="R72" s="2" t="s">
        <v>35</v>
      </c>
      <c r="S72" s="2"/>
      <c r="T72" s="2" t="s">
        <v>36</v>
      </c>
      <c r="U72" s="2">
        <v>0.5</v>
      </c>
      <c r="V72" s="2" t="s">
        <v>37</v>
      </c>
      <c r="W72" s="2" t="s">
        <v>118</v>
      </c>
      <c r="X72" s="2" t="s">
        <v>38</v>
      </c>
      <c r="Y72" s="2" t="s">
        <v>195</v>
      </c>
      <c r="Z72" s="2">
        <v>1.032</v>
      </c>
      <c r="AA72" s="2">
        <v>1.022</v>
      </c>
      <c r="AB72" s="2">
        <v>1.041</v>
      </c>
    </row>
    <row r="73" ht="15" spans="1:28">
      <c r="A73" s="2">
        <v>876</v>
      </c>
      <c r="B73" s="2">
        <v>15</v>
      </c>
      <c r="C73" s="2"/>
      <c r="D73" s="2">
        <v>2014</v>
      </c>
      <c r="E73" s="2"/>
      <c r="F73" s="2" t="s">
        <v>54</v>
      </c>
      <c r="G73" s="2" t="s">
        <v>56</v>
      </c>
      <c r="H73" s="2" t="s">
        <v>47</v>
      </c>
      <c r="I73" s="2" t="s">
        <v>30</v>
      </c>
      <c r="J73" s="2" t="s">
        <v>48</v>
      </c>
      <c r="K73" s="2" t="s">
        <v>32</v>
      </c>
      <c r="L73" s="2"/>
      <c r="M73" s="2"/>
      <c r="N73" s="2" t="s">
        <v>42</v>
      </c>
      <c r="O73" s="2"/>
      <c r="P73" s="2"/>
      <c r="Q73" s="2" t="s">
        <v>194</v>
      </c>
      <c r="R73" s="2" t="s">
        <v>35</v>
      </c>
      <c r="S73" s="2"/>
      <c r="T73" s="2" t="s">
        <v>36</v>
      </c>
      <c r="U73" s="2">
        <v>0.5</v>
      </c>
      <c r="V73" s="2" t="s">
        <v>37</v>
      </c>
      <c r="W73" s="2" t="s">
        <v>118</v>
      </c>
      <c r="X73" s="2" t="s">
        <v>38</v>
      </c>
      <c r="Y73" s="2" t="s">
        <v>195</v>
      </c>
      <c r="Z73" s="2">
        <v>1.023</v>
      </c>
      <c r="AA73" s="2">
        <v>1.016</v>
      </c>
      <c r="AB73" s="2">
        <v>1.03</v>
      </c>
    </row>
    <row r="74" ht="15" spans="1:28">
      <c r="A74" s="2">
        <v>876</v>
      </c>
      <c r="B74" s="2">
        <v>16</v>
      </c>
      <c r="C74" s="2"/>
      <c r="D74" s="2">
        <v>2014</v>
      </c>
      <c r="E74" s="2"/>
      <c r="F74" s="2" t="s">
        <v>54</v>
      </c>
      <c r="G74" s="2" t="s">
        <v>199</v>
      </c>
      <c r="H74" s="2" t="s">
        <v>47</v>
      </c>
      <c r="I74" s="2" t="s">
        <v>30</v>
      </c>
      <c r="J74" s="2" t="s">
        <v>48</v>
      </c>
      <c r="K74" s="2" t="s">
        <v>32</v>
      </c>
      <c r="L74" s="2"/>
      <c r="M74" s="2"/>
      <c r="N74" s="2" t="s">
        <v>42</v>
      </c>
      <c r="O74" s="2"/>
      <c r="P74" s="2"/>
      <c r="Q74" s="2" t="s">
        <v>194</v>
      </c>
      <c r="R74" s="2" t="s">
        <v>35</v>
      </c>
      <c r="S74" s="2"/>
      <c r="T74" s="2" t="s">
        <v>36</v>
      </c>
      <c r="U74" s="2">
        <v>0.5</v>
      </c>
      <c r="V74" s="2" t="s">
        <v>37</v>
      </c>
      <c r="W74" s="2" t="s">
        <v>118</v>
      </c>
      <c r="X74" s="2" t="s">
        <v>38</v>
      </c>
      <c r="Y74" s="2" t="s">
        <v>195</v>
      </c>
      <c r="Z74" s="2">
        <v>1.029</v>
      </c>
      <c r="AA74" s="2">
        <v>1.02</v>
      </c>
      <c r="AB74" s="2">
        <v>1.038</v>
      </c>
    </row>
    <row r="75" ht="15" spans="1:28">
      <c r="A75" s="2">
        <v>876</v>
      </c>
      <c r="B75" s="2">
        <v>17</v>
      </c>
      <c r="C75" s="2"/>
      <c r="D75" s="2">
        <v>2014</v>
      </c>
      <c r="E75" s="2"/>
      <c r="F75" s="2" t="s">
        <v>54</v>
      </c>
      <c r="G75" s="2" t="s">
        <v>200</v>
      </c>
      <c r="H75" s="2" t="s">
        <v>201</v>
      </c>
      <c r="I75" s="2" t="s">
        <v>30</v>
      </c>
      <c r="J75" s="2" t="s">
        <v>48</v>
      </c>
      <c r="K75" s="2" t="s">
        <v>32</v>
      </c>
      <c r="L75" s="2"/>
      <c r="M75" s="2"/>
      <c r="N75" s="2" t="s">
        <v>42</v>
      </c>
      <c r="O75" s="2"/>
      <c r="P75" s="2"/>
      <c r="Q75" s="2" t="s">
        <v>194</v>
      </c>
      <c r="R75" s="2" t="s">
        <v>35</v>
      </c>
      <c r="S75" s="2"/>
      <c r="T75" s="2" t="s">
        <v>36</v>
      </c>
      <c r="U75" s="2">
        <v>0.5</v>
      </c>
      <c r="V75" s="2" t="s">
        <v>37</v>
      </c>
      <c r="W75" s="2" t="s">
        <v>118</v>
      </c>
      <c r="X75" s="2" t="s">
        <v>38</v>
      </c>
      <c r="Y75" s="2" t="s">
        <v>195</v>
      </c>
      <c r="Z75" s="2">
        <v>1.048</v>
      </c>
      <c r="AA75" s="2">
        <v>1.041</v>
      </c>
      <c r="AB75" s="2">
        <v>1.056</v>
      </c>
    </row>
    <row r="76" ht="15" spans="1:28">
      <c r="A76" s="2">
        <v>876</v>
      </c>
      <c r="B76" s="2">
        <v>18</v>
      </c>
      <c r="C76" s="2"/>
      <c r="D76" s="2">
        <v>2014</v>
      </c>
      <c r="E76" s="2"/>
      <c r="F76" s="2" t="s">
        <v>54</v>
      </c>
      <c r="G76" s="2" t="s">
        <v>202</v>
      </c>
      <c r="H76" s="2" t="s">
        <v>47</v>
      </c>
      <c r="I76" s="2" t="s">
        <v>30</v>
      </c>
      <c r="J76" s="2" t="s">
        <v>48</v>
      </c>
      <c r="K76" s="2" t="s">
        <v>32</v>
      </c>
      <c r="L76" s="2"/>
      <c r="M76" s="2"/>
      <c r="N76" s="2" t="s">
        <v>42</v>
      </c>
      <c r="O76" s="2"/>
      <c r="P76" s="2"/>
      <c r="Q76" s="2" t="s">
        <v>194</v>
      </c>
      <c r="R76" s="2" t="s">
        <v>35</v>
      </c>
      <c r="S76" s="2"/>
      <c r="T76" s="2" t="s">
        <v>36</v>
      </c>
      <c r="U76" s="2">
        <v>0.5</v>
      </c>
      <c r="V76" s="2" t="s">
        <v>37</v>
      </c>
      <c r="W76" s="2" t="s">
        <v>118</v>
      </c>
      <c r="X76" s="2" t="s">
        <v>38</v>
      </c>
      <c r="Y76" s="2" t="s">
        <v>195</v>
      </c>
      <c r="Z76" s="2">
        <v>1.021</v>
      </c>
      <c r="AA76" s="2">
        <v>1.014</v>
      </c>
      <c r="AB76" s="2">
        <v>1.028</v>
      </c>
    </row>
    <row r="77" ht="15" spans="1:28">
      <c r="A77" s="2">
        <v>876</v>
      </c>
      <c r="B77" s="2">
        <v>19</v>
      </c>
      <c r="C77" s="2"/>
      <c r="D77" s="2">
        <v>2014</v>
      </c>
      <c r="E77" s="2"/>
      <c r="F77" s="2" t="s">
        <v>54</v>
      </c>
      <c r="G77" s="2" t="s">
        <v>203</v>
      </c>
      <c r="H77" s="2" t="s">
        <v>47</v>
      </c>
      <c r="I77" s="2" t="s">
        <v>30</v>
      </c>
      <c r="J77" s="2" t="s">
        <v>48</v>
      </c>
      <c r="K77" s="2" t="s">
        <v>32</v>
      </c>
      <c r="L77" s="2"/>
      <c r="M77" s="2"/>
      <c r="N77" s="2" t="s">
        <v>42</v>
      </c>
      <c r="O77" s="2"/>
      <c r="P77" s="2"/>
      <c r="Q77" s="2" t="s">
        <v>194</v>
      </c>
      <c r="R77" s="2" t="s">
        <v>35</v>
      </c>
      <c r="S77" s="2"/>
      <c r="T77" s="2" t="s">
        <v>36</v>
      </c>
      <c r="U77" s="2">
        <v>0.5</v>
      </c>
      <c r="V77" s="2" t="s">
        <v>37</v>
      </c>
      <c r="W77" s="2" t="s">
        <v>118</v>
      </c>
      <c r="X77" s="2" t="s">
        <v>38</v>
      </c>
      <c r="Y77" s="2" t="s">
        <v>195</v>
      </c>
      <c r="Z77" s="2">
        <v>1.026</v>
      </c>
      <c r="AA77" s="2">
        <v>1.016</v>
      </c>
      <c r="AB77" s="2">
        <v>1.035</v>
      </c>
    </row>
    <row r="78" ht="15" spans="1:28">
      <c r="A78" s="2">
        <v>876</v>
      </c>
      <c r="B78" s="2">
        <v>20</v>
      </c>
      <c r="C78" s="2"/>
      <c r="D78" s="2">
        <v>2014</v>
      </c>
      <c r="E78" s="2"/>
      <c r="F78" s="2" t="s">
        <v>54</v>
      </c>
      <c r="G78" s="2" t="s">
        <v>204</v>
      </c>
      <c r="H78" s="2" t="s">
        <v>47</v>
      </c>
      <c r="I78" s="2" t="s">
        <v>30</v>
      </c>
      <c r="J78" s="2" t="s">
        <v>48</v>
      </c>
      <c r="K78" s="2" t="s">
        <v>32</v>
      </c>
      <c r="L78" s="2"/>
      <c r="M78" s="2"/>
      <c r="N78" s="2" t="s">
        <v>42</v>
      </c>
      <c r="O78" s="2"/>
      <c r="P78" s="2"/>
      <c r="Q78" s="2" t="s">
        <v>194</v>
      </c>
      <c r="R78" s="2" t="s">
        <v>35</v>
      </c>
      <c r="S78" s="2"/>
      <c r="T78" s="2" t="s">
        <v>36</v>
      </c>
      <c r="U78" s="2">
        <v>0.5</v>
      </c>
      <c r="V78" s="2" t="s">
        <v>37</v>
      </c>
      <c r="W78" s="2" t="s">
        <v>118</v>
      </c>
      <c r="X78" s="2" t="s">
        <v>38</v>
      </c>
      <c r="Y78" s="2" t="s">
        <v>195</v>
      </c>
      <c r="Z78" s="2">
        <v>1.022</v>
      </c>
      <c r="AA78" s="2">
        <v>1.012</v>
      </c>
      <c r="AB78" s="2">
        <v>1.033</v>
      </c>
    </row>
    <row r="79" ht="15" spans="1:28">
      <c r="A79" s="2">
        <v>876</v>
      </c>
      <c r="B79" s="2">
        <v>21</v>
      </c>
      <c r="C79" s="2"/>
      <c r="D79" s="2">
        <v>2014</v>
      </c>
      <c r="E79" s="2"/>
      <c r="F79" s="2" t="s">
        <v>54</v>
      </c>
      <c r="G79" s="2" t="s">
        <v>193</v>
      </c>
      <c r="H79" s="2" t="s">
        <v>47</v>
      </c>
      <c r="I79" s="2" t="s">
        <v>30</v>
      </c>
      <c r="J79" s="2" t="s">
        <v>48</v>
      </c>
      <c r="K79" s="2" t="s">
        <v>32</v>
      </c>
      <c r="L79" s="2"/>
      <c r="M79" s="2"/>
      <c r="N79" s="2" t="s">
        <v>42</v>
      </c>
      <c r="O79" s="2"/>
      <c r="P79" s="2"/>
      <c r="Q79" s="2" t="s">
        <v>194</v>
      </c>
      <c r="R79" s="2" t="s">
        <v>35</v>
      </c>
      <c r="S79" s="2"/>
      <c r="T79" s="2" t="s">
        <v>36</v>
      </c>
      <c r="U79" s="2">
        <v>0.5</v>
      </c>
      <c r="V79" s="2" t="s">
        <v>37</v>
      </c>
      <c r="W79" s="2" t="s">
        <v>118</v>
      </c>
      <c r="X79" s="2" t="s">
        <v>38</v>
      </c>
      <c r="Y79" s="2" t="s">
        <v>195</v>
      </c>
      <c r="Z79" s="2">
        <v>1.002</v>
      </c>
      <c r="AA79" s="2">
        <v>0.987</v>
      </c>
      <c r="AB79" s="2">
        <v>1.016</v>
      </c>
    </row>
    <row r="80" ht="15" spans="1:28">
      <c r="A80" s="2">
        <v>876</v>
      </c>
      <c r="B80" s="2">
        <v>22</v>
      </c>
      <c r="C80" s="2"/>
      <c r="D80" s="2">
        <v>2014</v>
      </c>
      <c r="E80" s="2"/>
      <c r="F80" s="2" t="s">
        <v>54</v>
      </c>
      <c r="G80" s="2" t="s">
        <v>196</v>
      </c>
      <c r="H80" s="2" t="s">
        <v>47</v>
      </c>
      <c r="I80" s="2" t="s">
        <v>30</v>
      </c>
      <c r="J80" s="2" t="s">
        <v>48</v>
      </c>
      <c r="K80" s="2" t="s">
        <v>32</v>
      </c>
      <c r="L80" s="2"/>
      <c r="M80" s="2"/>
      <c r="N80" s="2" t="s">
        <v>42</v>
      </c>
      <c r="O80" s="2"/>
      <c r="P80" s="2"/>
      <c r="Q80" s="2" t="s">
        <v>194</v>
      </c>
      <c r="R80" s="2" t="s">
        <v>35</v>
      </c>
      <c r="S80" s="2"/>
      <c r="T80" s="2" t="s">
        <v>36</v>
      </c>
      <c r="U80" s="2">
        <v>0.5</v>
      </c>
      <c r="V80" s="2" t="s">
        <v>37</v>
      </c>
      <c r="W80" s="2" t="s">
        <v>118</v>
      </c>
      <c r="X80" s="2" t="s">
        <v>38</v>
      </c>
      <c r="Y80" s="2" t="s">
        <v>195</v>
      </c>
      <c r="Z80" s="2">
        <v>1.031</v>
      </c>
      <c r="AA80" s="2">
        <v>1.023</v>
      </c>
      <c r="AB80" s="2">
        <v>1.039</v>
      </c>
    </row>
    <row r="81" ht="15" spans="1:28">
      <c r="A81" s="2">
        <v>876</v>
      </c>
      <c r="B81" s="2">
        <v>23</v>
      </c>
      <c r="C81" s="2"/>
      <c r="D81" s="2">
        <v>2014</v>
      </c>
      <c r="E81" s="2"/>
      <c r="F81" s="2" t="s">
        <v>54</v>
      </c>
      <c r="G81" s="2" t="s">
        <v>197</v>
      </c>
      <c r="H81" s="2" t="s">
        <v>47</v>
      </c>
      <c r="I81" s="2" t="s">
        <v>30</v>
      </c>
      <c r="J81" s="2" t="s">
        <v>48</v>
      </c>
      <c r="K81" s="2" t="s">
        <v>32</v>
      </c>
      <c r="L81" s="2"/>
      <c r="M81" s="2"/>
      <c r="N81" s="2" t="s">
        <v>42</v>
      </c>
      <c r="O81" s="2"/>
      <c r="P81" s="2"/>
      <c r="Q81" s="2" t="s">
        <v>194</v>
      </c>
      <c r="R81" s="2" t="s">
        <v>35</v>
      </c>
      <c r="S81" s="2"/>
      <c r="T81" s="2" t="s">
        <v>36</v>
      </c>
      <c r="U81" s="2">
        <v>0.5</v>
      </c>
      <c r="V81" s="2" t="s">
        <v>37</v>
      </c>
      <c r="W81" s="2" t="s">
        <v>118</v>
      </c>
      <c r="X81" s="2" t="s">
        <v>38</v>
      </c>
      <c r="Y81" s="2" t="s">
        <v>195</v>
      </c>
      <c r="Z81" s="2">
        <v>1.033</v>
      </c>
      <c r="AA81" s="2">
        <v>1.023</v>
      </c>
      <c r="AB81" s="2">
        <v>1.043</v>
      </c>
    </row>
    <row r="82" ht="15" spans="1:28">
      <c r="A82" s="2">
        <v>876</v>
      </c>
      <c r="B82" s="2">
        <v>24</v>
      </c>
      <c r="C82" s="2"/>
      <c r="D82" s="2">
        <v>2014</v>
      </c>
      <c r="E82" s="2"/>
      <c r="F82" s="2" t="s">
        <v>54</v>
      </c>
      <c r="G82" s="2" t="s">
        <v>198</v>
      </c>
      <c r="H82" s="2" t="s">
        <v>47</v>
      </c>
      <c r="I82" s="2" t="s">
        <v>30</v>
      </c>
      <c r="J82" s="2" t="s">
        <v>48</v>
      </c>
      <c r="K82" s="2" t="s">
        <v>32</v>
      </c>
      <c r="L82" s="2"/>
      <c r="M82" s="2"/>
      <c r="N82" s="2" t="s">
        <v>42</v>
      </c>
      <c r="O82" s="2"/>
      <c r="P82" s="2"/>
      <c r="Q82" s="2" t="s">
        <v>194</v>
      </c>
      <c r="R82" s="2" t="s">
        <v>35</v>
      </c>
      <c r="S82" s="2"/>
      <c r="T82" s="2" t="s">
        <v>36</v>
      </c>
      <c r="U82" s="2">
        <v>0.5</v>
      </c>
      <c r="V82" s="2" t="s">
        <v>37</v>
      </c>
      <c r="W82" s="2" t="s">
        <v>118</v>
      </c>
      <c r="X82" s="2" t="s">
        <v>38</v>
      </c>
      <c r="Y82" s="2" t="s">
        <v>195</v>
      </c>
      <c r="Z82" s="2">
        <v>1.042</v>
      </c>
      <c r="AA82" s="2">
        <v>1.032</v>
      </c>
      <c r="AB82" s="2">
        <v>1.052</v>
      </c>
    </row>
    <row r="83" ht="15" spans="1:28">
      <c r="A83" s="2">
        <v>876</v>
      </c>
      <c r="B83" s="2">
        <v>25</v>
      </c>
      <c r="C83" s="2"/>
      <c r="D83" s="2">
        <v>2014</v>
      </c>
      <c r="E83" s="2"/>
      <c r="F83" s="2" t="s">
        <v>54</v>
      </c>
      <c r="G83" s="2" t="s">
        <v>56</v>
      </c>
      <c r="H83" s="2" t="s">
        <v>47</v>
      </c>
      <c r="I83" s="2" t="s">
        <v>30</v>
      </c>
      <c r="J83" s="2" t="s">
        <v>48</v>
      </c>
      <c r="K83" s="2" t="s">
        <v>32</v>
      </c>
      <c r="L83" s="2"/>
      <c r="M83" s="2"/>
      <c r="N83" s="2" t="s">
        <v>42</v>
      </c>
      <c r="O83" s="2"/>
      <c r="P83" s="2"/>
      <c r="Q83" s="2" t="s">
        <v>194</v>
      </c>
      <c r="R83" s="2" t="s">
        <v>35</v>
      </c>
      <c r="S83" s="2"/>
      <c r="T83" s="2" t="s">
        <v>36</v>
      </c>
      <c r="U83" s="2">
        <v>0.5</v>
      </c>
      <c r="V83" s="2" t="s">
        <v>37</v>
      </c>
      <c r="W83" s="2" t="s">
        <v>118</v>
      </c>
      <c r="X83" s="2" t="s">
        <v>38</v>
      </c>
      <c r="Y83" s="2" t="s">
        <v>195</v>
      </c>
      <c r="Z83" s="2">
        <v>1.034</v>
      </c>
      <c r="AA83" s="2">
        <v>1.025</v>
      </c>
      <c r="AB83" s="2">
        <v>1.043</v>
      </c>
    </row>
    <row r="84" ht="15" spans="1:28">
      <c r="A84" s="2">
        <v>876</v>
      </c>
      <c r="B84" s="2">
        <v>26</v>
      </c>
      <c r="C84" s="2"/>
      <c r="D84" s="2">
        <v>2014</v>
      </c>
      <c r="E84" s="2"/>
      <c r="F84" s="2" t="s">
        <v>54</v>
      </c>
      <c r="G84" s="2" t="s">
        <v>199</v>
      </c>
      <c r="H84" s="2" t="s">
        <v>47</v>
      </c>
      <c r="I84" s="2" t="s">
        <v>30</v>
      </c>
      <c r="J84" s="2" t="s">
        <v>48</v>
      </c>
      <c r="K84" s="2" t="s">
        <v>32</v>
      </c>
      <c r="L84" s="2"/>
      <c r="M84" s="2"/>
      <c r="N84" s="2" t="s">
        <v>42</v>
      </c>
      <c r="O84" s="2"/>
      <c r="P84" s="2"/>
      <c r="Q84" s="2" t="s">
        <v>194</v>
      </c>
      <c r="R84" s="2" t="s">
        <v>35</v>
      </c>
      <c r="S84" s="2"/>
      <c r="T84" s="2" t="s">
        <v>36</v>
      </c>
      <c r="U84" s="2">
        <v>0.5</v>
      </c>
      <c r="V84" s="2" t="s">
        <v>37</v>
      </c>
      <c r="W84" s="2" t="s">
        <v>118</v>
      </c>
      <c r="X84" s="2" t="s">
        <v>38</v>
      </c>
      <c r="Y84" s="2" t="s">
        <v>195</v>
      </c>
      <c r="Z84" s="2">
        <v>1.038</v>
      </c>
      <c r="AA84" s="2">
        <v>1.029</v>
      </c>
      <c r="AB84" s="2">
        <v>1.047</v>
      </c>
    </row>
    <row r="85" ht="15" spans="1:28">
      <c r="A85" s="2">
        <v>876</v>
      </c>
      <c r="B85" s="2">
        <v>27</v>
      </c>
      <c r="C85" s="2"/>
      <c r="D85" s="2">
        <v>2014</v>
      </c>
      <c r="E85" s="2"/>
      <c r="F85" s="2" t="s">
        <v>54</v>
      </c>
      <c r="G85" s="2" t="s">
        <v>200</v>
      </c>
      <c r="H85" s="2" t="s">
        <v>201</v>
      </c>
      <c r="I85" s="2" t="s">
        <v>30</v>
      </c>
      <c r="J85" s="2" t="s">
        <v>48</v>
      </c>
      <c r="K85" s="2" t="s">
        <v>32</v>
      </c>
      <c r="L85" s="2"/>
      <c r="M85" s="2"/>
      <c r="N85" s="2" t="s">
        <v>42</v>
      </c>
      <c r="O85" s="2"/>
      <c r="P85" s="2"/>
      <c r="Q85" s="2" t="s">
        <v>194</v>
      </c>
      <c r="R85" s="2" t="s">
        <v>35</v>
      </c>
      <c r="S85" s="2"/>
      <c r="T85" s="2" t="s">
        <v>36</v>
      </c>
      <c r="U85" s="2">
        <v>0.5</v>
      </c>
      <c r="V85" s="2" t="s">
        <v>37</v>
      </c>
      <c r="W85" s="2" t="s">
        <v>118</v>
      </c>
      <c r="X85" s="2" t="s">
        <v>38</v>
      </c>
      <c r="Y85" s="2" t="s">
        <v>195</v>
      </c>
      <c r="Z85" s="2">
        <v>1.064</v>
      </c>
      <c r="AA85" s="2">
        <v>1.057</v>
      </c>
      <c r="AB85" s="2">
        <v>1.072</v>
      </c>
    </row>
    <row r="86" ht="15" spans="1:28">
      <c r="A86" s="2">
        <v>876</v>
      </c>
      <c r="B86" s="2">
        <v>28</v>
      </c>
      <c r="C86" s="2"/>
      <c r="D86" s="2">
        <v>2014</v>
      </c>
      <c r="E86" s="2"/>
      <c r="F86" s="2" t="s">
        <v>54</v>
      </c>
      <c r="G86" s="2" t="s">
        <v>202</v>
      </c>
      <c r="H86" s="2" t="s">
        <v>47</v>
      </c>
      <c r="I86" s="2" t="s">
        <v>30</v>
      </c>
      <c r="J86" s="2" t="s">
        <v>48</v>
      </c>
      <c r="K86" s="2" t="s">
        <v>32</v>
      </c>
      <c r="L86" s="2"/>
      <c r="M86" s="2"/>
      <c r="N86" s="2" t="s">
        <v>42</v>
      </c>
      <c r="O86" s="2"/>
      <c r="P86" s="2"/>
      <c r="Q86" s="2" t="s">
        <v>194</v>
      </c>
      <c r="R86" s="2" t="s">
        <v>35</v>
      </c>
      <c r="S86" s="2"/>
      <c r="T86" s="2" t="s">
        <v>36</v>
      </c>
      <c r="U86" s="2">
        <v>0.5</v>
      </c>
      <c r="V86" s="2" t="s">
        <v>37</v>
      </c>
      <c r="W86" s="2" t="s">
        <v>118</v>
      </c>
      <c r="X86" s="2" t="s">
        <v>38</v>
      </c>
      <c r="Y86" s="2" t="s">
        <v>195</v>
      </c>
      <c r="Z86" s="2">
        <v>1.047</v>
      </c>
      <c r="AA86" s="2">
        <v>1.04</v>
      </c>
      <c r="AB86" s="2">
        <v>1.054</v>
      </c>
    </row>
    <row r="87" ht="15" spans="1:28">
      <c r="A87" s="2">
        <v>876</v>
      </c>
      <c r="B87" s="2">
        <v>29</v>
      </c>
      <c r="C87" s="2"/>
      <c r="D87" s="2">
        <v>2014</v>
      </c>
      <c r="E87" s="2"/>
      <c r="F87" s="2" t="s">
        <v>54</v>
      </c>
      <c r="G87" s="2" t="s">
        <v>203</v>
      </c>
      <c r="H87" s="2" t="s">
        <v>47</v>
      </c>
      <c r="I87" s="2" t="s">
        <v>30</v>
      </c>
      <c r="J87" s="2" t="s">
        <v>48</v>
      </c>
      <c r="K87" s="2" t="s">
        <v>32</v>
      </c>
      <c r="L87" s="2"/>
      <c r="M87" s="2"/>
      <c r="N87" s="2" t="s">
        <v>42</v>
      </c>
      <c r="O87" s="2"/>
      <c r="P87" s="2"/>
      <c r="Q87" s="2" t="s">
        <v>194</v>
      </c>
      <c r="R87" s="2" t="s">
        <v>35</v>
      </c>
      <c r="S87" s="2"/>
      <c r="T87" s="2" t="s">
        <v>36</v>
      </c>
      <c r="U87" s="2">
        <v>0.5</v>
      </c>
      <c r="V87" s="2" t="s">
        <v>37</v>
      </c>
      <c r="W87" s="2" t="s">
        <v>118</v>
      </c>
      <c r="X87" s="2" t="s">
        <v>38</v>
      </c>
      <c r="Y87" s="2" t="s">
        <v>195</v>
      </c>
      <c r="Z87" s="2">
        <v>1.029</v>
      </c>
      <c r="AA87" s="2">
        <v>1.019</v>
      </c>
      <c r="AB87" s="2">
        <v>1.038</v>
      </c>
    </row>
    <row r="88" ht="15" spans="1:28">
      <c r="A88" s="2">
        <v>876</v>
      </c>
      <c r="B88" s="2">
        <v>30</v>
      </c>
      <c r="C88" s="2"/>
      <c r="D88" s="2">
        <v>2014</v>
      </c>
      <c r="E88" s="2"/>
      <c r="F88" s="2" t="s">
        <v>54</v>
      </c>
      <c r="G88" s="2" t="s">
        <v>204</v>
      </c>
      <c r="H88" s="2" t="s">
        <v>47</v>
      </c>
      <c r="I88" s="2" t="s">
        <v>30</v>
      </c>
      <c r="J88" s="2" t="s">
        <v>48</v>
      </c>
      <c r="K88" s="2" t="s">
        <v>32</v>
      </c>
      <c r="L88" s="2"/>
      <c r="M88" s="2"/>
      <c r="N88" s="2" t="s">
        <v>42</v>
      </c>
      <c r="O88" s="2"/>
      <c r="P88" s="2"/>
      <c r="Q88" s="2" t="s">
        <v>194</v>
      </c>
      <c r="R88" s="2" t="s">
        <v>35</v>
      </c>
      <c r="S88" s="2"/>
      <c r="T88" s="2" t="s">
        <v>36</v>
      </c>
      <c r="U88" s="2">
        <v>0.5</v>
      </c>
      <c r="V88" s="2" t="s">
        <v>37</v>
      </c>
      <c r="W88" s="2" t="s">
        <v>118</v>
      </c>
      <c r="X88" s="2" t="s">
        <v>38</v>
      </c>
      <c r="Y88" s="2" t="s">
        <v>195</v>
      </c>
      <c r="Z88" s="2">
        <v>1.034</v>
      </c>
      <c r="AA88" s="2">
        <v>1.022</v>
      </c>
      <c r="AB88" s="2">
        <v>1.046</v>
      </c>
    </row>
  </sheetData>
  <autoFilter xmlns:etc="http://www.wps.cn/officeDocument/2017/etCustomData" ref="A1:AB88" etc:filterBottomFollowUsedRange="0">
    <extLst/>
  </autoFilter>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52"/>
  <sheetViews>
    <sheetView workbookViewId="0">
      <pane xSplit="1" topLeftCell="B1" activePane="topRight" state="frozen"/>
      <selection/>
      <selection pane="topRight" activeCell="T16" sqref="T16"/>
    </sheetView>
  </sheetViews>
  <sheetFormatPr defaultColWidth="9" defaultRowHeight="13.85"/>
  <cols>
    <col min="1" max="98" width="9" style="2"/>
  </cols>
  <sheetData>
    <row r="1" ht="13.9" spans="1:28">
      <c r="A1" s="2" t="s">
        <v>0</v>
      </c>
      <c r="B1" s="2" t="s">
        <v>1</v>
      </c>
      <c r="C1" s="2" t="s">
        <v>2</v>
      </c>
      <c r="D1" s="2" t="s">
        <v>3</v>
      </c>
      <c r="E1" s="2" t="s">
        <v>4</v>
      </c>
      <c r="F1" s="2" t="s">
        <v>5</v>
      </c>
      <c r="G1" s="2" t="s">
        <v>6</v>
      </c>
      <c r="H1" s="2" t="s">
        <v>6</v>
      </c>
      <c r="I1" s="2" t="s">
        <v>7</v>
      </c>
      <c r="J1" s="2" t="s">
        <v>8</v>
      </c>
      <c r="K1" s="2" t="s">
        <v>9</v>
      </c>
      <c r="L1" s="2" t="s">
        <v>10</v>
      </c>
      <c r="M1" s="2" t="s">
        <v>11</v>
      </c>
      <c r="N1" s="2" t="s">
        <v>205</v>
      </c>
      <c r="O1" s="2" t="s">
        <v>13</v>
      </c>
      <c r="P1" s="2" t="s">
        <v>14</v>
      </c>
      <c r="Q1" s="2" t="s">
        <v>15</v>
      </c>
      <c r="R1" s="2" t="s">
        <v>16</v>
      </c>
      <c r="S1" s="2" t="s">
        <v>17</v>
      </c>
      <c r="T1" s="2" t="s">
        <v>18</v>
      </c>
      <c r="U1" s="15" t="s">
        <v>19</v>
      </c>
      <c r="V1" s="2" t="s">
        <v>20</v>
      </c>
      <c r="W1" s="2" t="s">
        <v>21</v>
      </c>
      <c r="X1" s="2"/>
      <c r="Y1" s="2" t="s">
        <v>22</v>
      </c>
      <c r="Z1" s="2" t="s">
        <v>23</v>
      </c>
      <c r="AA1" s="2" t="s">
        <v>24</v>
      </c>
      <c r="AB1" s="2" t="s">
        <v>25</v>
      </c>
    </row>
    <row r="2" spans="1:28">
      <c r="A2" s="2">
        <v>79</v>
      </c>
      <c r="B2" s="2">
        <v>1</v>
      </c>
      <c r="C2" s="2"/>
      <c r="D2" s="2">
        <v>2017</v>
      </c>
      <c r="E2" s="2"/>
      <c r="F2" s="2" t="s">
        <v>28</v>
      </c>
      <c r="G2" s="2" t="s">
        <v>206</v>
      </c>
      <c r="H2" s="2" t="s">
        <v>206</v>
      </c>
      <c r="I2" s="2" t="s">
        <v>137</v>
      </c>
      <c r="J2" s="2" t="s">
        <v>31</v>
      </c>
      <c r="K2" s="2" t="s">
        <v>32</v>
      </c>
      <c r="L2" s="2"/>
      <c r="M2" s="2"/>
      <c r="N2" s="2" t="s">
        <v>207</v>
      </c>
      <c r="O2" s="2"/>
      <c r="P2" s="2"/>
      <c r="Q2" s="2" t="s">
        <v>208</v>
      </c>
      <c r="R2" s="2" t="s">
        <v>35</v>
      </c>
      <c r="S2" s="2"/>
      <c r="T2" s="2" t="s">
        <v>209</v>
      </c>
      <c r="U2" s="2">
        <v>2.5</v>
      </c>
      <c r="V2" s="2" t="s">
        <v>37</v>
      </c>
      <c r="W2" s="2" t="s">
        <v>210</v>
      </c>
      <c r="X2" s="2" t="s">
        <v>211</v>
      </c>
      <c r="Y2" s="2" t="s">
        <v>39</v>
      </c>
      <c r="Z2" s="2">
        <v>1.002</v>
      </c>
      <c r="AA2" s="2">
        <v>0.999</v>
      </c>
      <c r="AB2" s="2">
        <v>1.005</v>
      </c>
    </row>
    <row r="3" spans="1:28">
      <c r="A3" s="2">
        <v>320</v>
      </c>
      <c r="B3" s="2">
        <v>1</v>
      </c>
      <c r="C3" s="2" t="s">
        <v>212</v>
      </c>
      <c r="D3" s="2">
        <v>2024</v>
      </c>
      <c r="E3" s="2" t="s">
        <v>127</v>
      </c>
      <c r="F3" s="2" t="s">
        <v>45</v>
      </c>
      <c r="G3" s="2" t="s">
        <v>128</v>
      </c>
      <c r="H3" s="2" t="s">
        <v>128</v>
      </c>
      <c r="I3" s="2" t="s">
        <v>129</v>
      </c>
      <c r="J3" s="2" t="s">
        <v>122</v>
      </c>
      <c r="K3" s="2" t="s">
        <v>32</v>
      </c>
      <c r="L3" s="2">
        <v>81408</v>
      </c>
      <c r="M3" s="2"/>
      <c r="N3" s="2" t="s">
        <v>42</v>
      </c>
      <c r="O3" s="2"/>
      <c r="P3" s="2" t="s">
        <v>130</v>
      </c>
      <c r="Q3" s="2" t="s">
        <v>131</v>
      </c>
      <c r="R3" s="2" t="s">
        <v>35</v>
      </c>
      <c r="S3" s="2"/>
      <c r="T3" s="2" t="s">
        <v>36</v>
      </c>
      <c r="U3" s="2">
        <v>0.5</v>
      </c>
      <c r="V3" s="2" t="s">
        <v>37</v>
      </c>
      <c r="W3" s="2" t="s">
        <v>213</v>
      </c>
      <c r="X3" s="2" t="s">
        <v>211</v>
      </c>
      <c r="Y3" s="2" t="s">
        <v>39</v>
      </c>
      <c r="Z3" s="2">
        <v>1.015</v>
      </c>
      <c r="AA3" s="2">
        <v>1.004</v>
      </c>
      <c r="AB3" s="2">
        <v>1.025</v>
      </c>
    </row>
    <row r="4" spans="1:28">
      <c r="A4" s="2">
        <v>320</v>
      </c>
      <c r="B4" s="2">
        <v>2</v>
      </c>
      <c r="C4" s="2"/>
      <c r="D4" s="2">
        <v>2024</v>
      </c>
      <c r="E4" s="2"/>
      <c r="F4" s="2" t="s">
        <v>54</v>
      </c>
      <c r="G4" s="2" t="s">
        <v>128</v>
      </c>
      <c r="H4" s="2" t="s">
        <v>128</v>
      </c>
      <c r="I4" s="2" t="s">
        <v>129</v>
      </c>
      <c r="J4" s="2" t="s">
        <v>122</v>
      </c>
      <c r="K4" s="2" t="s">
        <v>32</v>
      </c>
      <c r="L4" s="2">
        <v>182976</v>
      </c>
      <c r="M4" s="2"/>
      <c r="N4" s="2" t="s">
        <v>42</v>
      </c>
      <c r="O4" s="2"/>
      <c r="P4" s="2" t="s">
        <v>130</v>
      </c>
      <c r="Q4" s="2" t="s">
        <v>131</v>
      </c>
      <c r="R4" s="2" t="s">
        <v>35</v>
      </c>
      <c r="S4" s="2"/>
      <c r="T4" s="2" t="s">
        <v>36</v>
      </c>
      <c r="U4" s="2">
        <v>0.5</v>
      </c>
      <c r="V4" s="2" t="s">
        <v>37</v>
      </c>
      <c r="W4" s="2" t="s">
        <v>213</v>
      </c>
      <c r="X4" s="2" t="s">
        <v>211</v>
      </c>
      <c r="Y4" s="2" t="s">
        <v>39</v>
      </c>
      <c r="Z4" s="2">
        <v>1.01</v>
      </c>
      <c r="AA4" s="2">
        <v>1.005</v>
      </c>
      <c r="AB4" s="2">
        <v>1.015</v>
      </c>
    </row>
    <row r="5" spans="1:28">
      <c r="A5" s="2">
        <v>338</v>
      </c>
      <c r="B5" s="2">
        <v>1</v>
      </c>
      <c r="C5" s="2"/>
      <c r="D5" s="2">
        <v>2019</v>
      </c>
      <c r="E5" s="2"/>
      <c r="F5" s="2" t="s">
        <v>28</v>
      </c>
      <c r="G5" s="2" t="s">
        <v>214</v>
      </c>
      <c r="H5" s="2" t="s">
        <v>215</v>
      </c>
      <c r="I5" s="2" t="s">
        <v>102</v>
      </c>
      <c r="J5" s="2" t="s">
        <v>110</v>
      </c>
      <c r="K5" s="2" t="s">
        <v>32</v>
      </c>
      <c r="L5" s="2"/>
      <c r="M5" s="2">
        <v>0.448</v>
      </c>
      <c r="N5" s="2" t="s">
        <v>42</v>
      </c>
      <c r="O5" s="2"/>
      <c r="P5" s="2" t="s">
        <v>216</v>
      </c>
      <c r="Q5" s="2" t="s">
        <v>217</v>
      </c>
      <c r="R5" s="2" t="s">
        <v>35</v>
      </c>
      <c r="S5" s="2"/>
      <c r="T5" s="2" t="s">
        <v>88</v>
      </c>
      <c r="U5" s="2">
        <v>3.5</v>
      </c>
      <c r="V5" s="2" t="s">
        <v>37</v>
      </c>
      <c r="W5" s="2" t="s">
        <v>218</v>
      </c>
      <c r="X5" s="2" t="s">
        <v>211</v>
      </c>
      <c r="Y5" s="2" t="s">
        <v>53</v>
      </c>
      <c r="Z5" s="2">
        <v>1.009</v>
      </c>
      <c r="AA5" s="2">
        <v>1.001</v>
      </c>
      <c r="AB5" s="2">
        <v>1.018</v>
      </c>
    </row>
    <row r="6" ht="13.9" spans="1:28">
      <c r="A6" s="2">
        <v>434</v>
      </c>
      <c r="B6" s="2">
        <v>1</v>
      </c>
      <c r="C6" s="2" t="s">
        <v>219</v>
      </c>
      <c r="D6" s="2">
        <v>2015</v>
      </c>
      <c r="E6" s="2" t="s">
        <v>220</v>
      </c>
      <c r="F6" s="2" t="s">
        <v>54</v>
      </c>
      <c r="G6" s="2" t="s">
        <v>214</v>
      </c>
      <c r="H6" s="2" t="s">
        <v>215</v>
      </c>
      <c r="I6" s="2" t="s">
        <v>102</v>
      </c>
      <c r="J6" s="2" t="s">
        <v>110</v>
      </c>
      <c r="K6" s="2" t="s">
        <v>32</v>
      </c>
      <c r="L6" s="2" t="s">
        <v>221</v>
      </c>
      <c r="M6" s="2">
        <v>0.6646</v>
      </c>
      <c r="N6" s="2" t="s">
        <v>42</v>
      </c>
      <c r="O6" s="2"/>
      <c r="P6" s="2" t="s">
        <v>146</v>
      </c>
      <c r="Q6" s="2" t="s">
        <v>222</v>
      </c>
      <c r="R6" s="2" t="s">
        <v>35</v>
      </c>
      <c r="S6" s="2"/>
      <c r="T6" s="2">
        <v>0</v>
      </c>
      <c r="U6" s="2">
        <v>0</v>
      </c>
      <c r="V6" s="2" t="s">
        <v>104</v>
      </c>
      <c r="W6" s="2" t="s">
        <v>223</v>
      </c>
      <c r="X6" s="2" t="s">
        <v>211</v>
      </c>
      <c r="Y6" s="2" t="s">
        <v>53</v>
      </c>
      <c r="Z6" s="2">
        <v>1.16</v>
      </c>
      <c r="AA6" s="2">
        <v>1.01</v>
      </c>
      <c r="AB6" s="2">
        <v>1.33</v>
      </c>
    </row>
    <row r="7" ht="13" customHeight="1" spans="1:28">
      <c r="A7" s="2">
        <v>480</v>
      </c>
      <c r="B7" s="2">
        <v>1</v>
      </c>
      <c r="C7" s="2" t="s">
        <v>224</v>
      </c>
      <c r="D7" s="2">
        <v>2018</v>
      </c>
      <c r="E7" s="2" t="s">
        <v>225</v>
      </c>
      <c r="F7" s="2" t="s">
        <v>54</v>
      </c>
      <c r="G7" s="2" t="s">
        <v>144</v>
      </c>
      <c r="H7" s="2" t="s">
        <v>145</v>
      </c>
      <c r="I7" s="2" t="s">
        <v>102</v>
      </c>
      <c r="J7" s="2" t="s">
        <v>110</v>
      </c>
      <c r="K7" s="2" t="s">
        <v>32</v>
      </c>
      <c r="L7" s="2">
        <v>8808</v>
      </c>
      <c r="M7" s="2"/>
      <c r="N7" s="2" t="s">
        <v>42</v>
      </c>
      <c r="O7" s="2"/>
      <c r="P7" s="2" t="s">
        <v>146</v>
      </c>
      <c r="Q7" s="2" t="s">
        <v>226</v>
      </c>
      <c r="R7" s="2" t="s">
        <v>35</v>
      </c>
      <c r="S7" s="2"/>
      <c r="T7" s="2">
        <v>0</v>
      </c>
      <c r="U7" s="2">
        <v>0</v>
      </c>
      <c r="V7" s="2" t="s">
        <v>104</v>
      </c>
      <c r="W7" s="2" t="s">
        <v>227</v>
      </c>
      <c r="X7" s="2" t="s">
        <v>211</v>
      </c>
      <c r="Y7" s="2" t="s">
        <v>39</v>
      </c>
      <c r="Z7" s="2" t="s">
        <v>228</v>
      </c>
      <c r="AA7" s="2">
        <v>1.001</v>
      </c>
      <c r="AB7" s="2">
        <v>1.018</v>
      </c>
    </row>
    <row r="8" spans="1:28">
      <c r="A8" s="2">
        <v>517</v>
      </c>
      <c r="B8" s="2">
        <v>1</v>
      </c>
      <c r="C8" s="2" t="s">
        <v>229</v>
      </c>
      <c r="D8" s="2">
        <v>2022</v>
      </c>
      <c r="E8" s="2" t="s">
        <v>230</v>
      </c>
      <c r="F8" s="2" t="s">
        <v>231</v>
      </c>
      <c r="G8" s="2" t="s">
        <v>232</v>
      </c>
      <c r="H8" s="2" t="s">
        <v>232</v>
      </c>
      <c r="I8" s="2" t="s">
        <v>137</v>
      </c>
      <c r="J8" s="2" t="s">
        <v>122</v>
      </c>
      <c r="K8" s="2" t="s">
        <v>32</v>
      </c>
      <c r="L8" s="2">
        <v>117694</v>
      </c>
      <c r="M8" s="2"/>
      <c r="N8" s="2" t="s">
        <v>170</v>
      </c>
      <c r="O8" s="2"/>
      <c r="P8" s="2" t="s">
        <v>233</v>
      </c>
      <c r="Q8" s="2" t="s">
        <v>234</v>
      </c>
      <c r="R8" s="2" t="s">
        <v>35</v>
      </c>
      <c r="S8" s="2"/>
      <c r="T8" s="2" t="s">
        <v>235</v>
      </c>
      <c r="U8" s="2">
        <v>5</v>
      </c>
      <c r="V8" s="2" t="s">
        <v>37</v>
      </c>
      <c r="W8" s="2" t="s">
        <v>236</v>
      </c>
      <c r="X8" s="2" t="s">
        <v>211</v>
      </c>
      <c r="Y8" s="2" t="s">
        <v>53</v>
      </c>
      <c r="Z8" s="2" t="s">
        <v>237</v>
      </c>
      <c r="AA8" s="2" t="s">
        <v>238</v>
      </c>
      <c r="AB8" s="2" t="s">
        <v>239</v>
      </c>
    </row>
    <row r="9" spans="1:28">
      <c r="A9" s="2">
        <v>517</v>
      </c>
      <c r="B9" s="2">
        <v>2</v>
      </c>
      <c r="C9" s="2"/>
      <c r="D9" s="2">
        <v>2022</v>
      </c>
      <c r="E9" s="2"/>
      <c r="F9" s="2" t="s">
        <v>54</v>
      </c>
      <c r="G9" s="2" t="s">
        <v>232</v>
      </c>
      <c r="H9" s="2" t="s">
        <v>232</v>
      </c>
      <c r="I9" s="2" t="s">
        <v>137</v>
      </c>
      <c r="J9" s="2" t="s">
        <v>122</v>
      </c>
      <c r="K9" s="2" t="s">
        <v>32</v>
      </c>
      <c r="L9" s="2"/>
      <c r="M9" s="2"/>
      <c r="N9" s="2" t="s">
        <v>170</v>
      </c>
      <c r="O9" s="2"/>
      <c r="P9" s="2"/>
      <c r="Q9" s="2" t="s">
        <v>234</v>
      </c>
      <c r="R9" s="2" t="s">
        <v>35</v>
      </c>
      <c r="S9" s="2"/>
      <c r="T9" s="2" t="s">
        <v>235</v>
      </c>
      <c r="U9" s="2">
        <v>5</v>
      </c>
      <c r="V9" s="2" t="s">
        <v>37</v>
      </c>
      <c r="W9" s="2" t="s">
        <v>236</v>
      </c>
      <c r="X9" s="2" t="s">
        <v>211</v>
      </c>
      <c r="Y9" s="2" t="s">
        <v>53</v>
      </c>
      <c r="Z9" s="2" t="s">
        <v>240</v>
      </c>
      <c r="AA9" s="2" t="s">
        <v>241</v>
      </c>
      <c r="AB9" s="2" t="s">
        <v>242</v>
      </c>
    </row>
    <row r="10" spans="1:28">
      <c r="A10" s="2">
        <v>531</v>
      </c>
      <c r="B10" s="2">
        <v>1</v>
      </c>
      <c r="C10" s="2" t="s">
        <v>243</v>
      </c>
      <c r="D10" s="2">
        <v>2020</v>
      </c>
      <c r="E10" s="2" t="s">
        <v>244</v>
      </c>
      <c r="F10" s="2" t="s">
        <v>28</v>
      </c>
      <c r="G10" s="2" t="s">
        <v>245</v>
      </c>
      <c r="H10" s="2" t="s">
        <v>245</v>
      </c>
      <c r="I10" s="2" t="s">
        <v>102</v>
      </c>
      <c r="J10" s="2" t="s">
        <v>110</v>
      </c>
      <c r="K10" s="2" t="s">
        <v>111</v>
      </c>
      <c r="L10" s="2" t="s">
        <v>81</v>
      </c>
      <c r="M10" s="2" t="s">
        <v>156</v>
      </c>
      <c r="N10" s="2" t="s">
        <v>42</v>
      </c>
      <c r="O10" s="2"/>
      <c r="P10" s="2" t="s">
        <v>246</v>
      </c>
      <c r="Q10" s="2" t="s">
        <v>247</v>
      </c>
      <c r="R10" s="2" t="s">
        <v>35</v>
      </c>
      <c r="S10" s="2"/>
      <c r="T10" s="2">
        <v>0</v>
      </c>
      <c r="U10" s="2">
        <v>0</v>
      </c>
      <c r="V10" s="2" t="s">
        <v>104</v>
      </c>
      <c r="W10" s="2" t="s">
        <v>248</v>
      </c>
      <c r="X10" s="2" t="s">
        <v>211</v>
      </c>
      <c r="Y10" s="2" t="s">
        <v>195</v>
      </c>
      <c r="Z10" s="2">
        <v>0.995</v>
      </c>
      <c r="AA10" s="2">
        <v>0.979</v>
      </c>
      <c r="AB10" s="2">
        <v>1.011</v>
      </c>
    </row>
    <row r="11" spans="1:28">
      <c r="A11" s="2">
        <v>531</v>
      </c>
      <c r="B11" s="2">
        <v>2</v>
      </c>
      <c r="C11" s="2"/>
      <c r="D11" s="2">
        <v>2020</v>
      </c>
      <c r="E11" s="2"/>
      <c r="F11" s="2" t="s">
        <v>28</v>
      </c>
      <c r="G11" s="2" t="s">
        <v>245</v>
      </c>
      <c r="H11" s="2" t="s">
        <v>245</v>
      </c>
      <c r="I11" s="2" t="s">
        <v>102</v>
      </c>
      <c r="J11" s="2" t="s">
        <v>110</v>
      </c>
      <c r="K11" s="2" t="s">
        <v>111</v>
      </c>
      <c r="L11" s="2"/>
      <c r="M11" s="2"/>
      <c r="N11" s="2" t="s">
        <v>42</v>
      </c>
      <c r="O11" s="2"/>
      <c r="P11" s="2"/>
      <c r="Q11" s="2" t="s">
        <v>247</v>
      </c>
      <c r="R11" s="2" t="s">
        <v>35</v>
      </c>
      <c r="S11" s="2"/>
      <c r="T11" s="2">
        <v>1</v>
      </c>
      <c r="U11" s="2">
        <v>1</v>
      </c>
      <c r="V11" s="2" t="s">
        <v>104</v>
      </c>
      <c r="W11" s="2" t="s">
        <v>248</v>
      </c>
      <c r="X11" s="2" t="s">
        <v>211</v>
      </c>
      <c r="Y11" s="2" t="s">
        <v>195</v>
      </c>
      <c r="Z11" s="2">
        <v>1.015</v>
      </c>
      <c r="AA11" s="2">
        <v>0.999</v>
      </c>
      <c r="AB11" s="2">
        <v>1.03</v>
      </c>
    </row>
    <row r="12" spans="1:28">
      <c r="A12" s="2">
        <v>531</v>
      </c>
      <c r="B12" s="2">
        <v>3</v>
      </c>
      <c r="C12" s="2"/>
      <c r="D12" s="2">
        <v>2020</v>
      </c>
      <c r="E12" s="2"/>
      <c r="F12" s="2" t="s">
        <v>28</v>
      </c>
      <c r="G12" s="2" t="s">
        <v>245</v>
      </c>
      <c r="H12" s="2" t="s">
        <v>245</v>
      </c>
      <c r="I12" s="2" t="s">
        <v>102</v>
      </c>
      <c r="J12" s="2" t="s">
        <v>110</v>
      </c>
      <c r="K12" s="2" t="s">
        <v>111</v>
      </c>
      <c r="L12" s="2"/>
      <c r="M12" s="2"/>
      <c r="N12" s="2" t="s">
        <v>42</v>
      </c>
      <c r="O12" s="2"/>
      <c r="P12" s="2"/>
      <c r="Q12" s="2" t="s">
        <v>247</v>
      </c>
      <c r="R12" s="2" t="s">
        <v>35</v>
      </c>
      <c r="S12" s="2"/>
      <c r="T12" s="2">
        <v>2</v>
      </c>
      <c r="U12" s="2">
        <v>2</v>
      </c>
      <c r="V12" s="2" t="s">
        <v>104</v>
      </c>
      <c r="W12" s="2" t="s">
        <v>248</v>
      </c>
      <c r="X12" s="2" t="s">
        <v>211</v>
      </c>
      <c r="Y12" s="2" t="s">
        <v>195</v>
      </c>
      <c r="Z12" s="2">
        <v>0.992</v>
      </c>
      <c r="AA12" s="2">
        <v>0.978</v>
      </c>
      <c r="AB12" s="2">
        <v>1.007</v>
      </c>
    </row>
    <row r="13" spans="1:28">
      <c r="A13" s="2">
        <v>531</v>
      </c>
      <c r="B13" s="2">
        <v>4</v>
      </c>
      <c r="C13" s="2"/>
      <c r="D13" s="2">
        <v>2020</v>
      </c>
      <c r="E13" s="2"/>
      <c r="F13" s="2" t="s">
        <v>28</v>
      </c>
      <c r="G13" s="2" t="s">
        <v>245</v>
      </c>
      <c r="H13" s="2" t="s">
        <v>245</v>
      </c>
      <c r="I13" s="2" t="s">
        <v>102</v>
      </c>
      <c r="J13" s="2" t="s">
        <v>110</v>
      </c>
      <c r="K13" s="2" t="s">
        <v>111</v>
      </c>
      <c r="L13" s="2"/>
      <c r="M13" s="2"/>
      <c r="N13" s="2" t="s">
        <v>42</v>
      </c>
      <c r="O13" s="2"/>
      <c r="P13" s="2"/>
      <c r="Q13" s="2" t="s">
        <v>247</v>
      </c>
      <c r="R13" s="2" t="s">
        <v>35</v>
      </c>
      <c r="S13" s="2"/>
      <c r="T13" s="2">
        <v>3</v>
      </c>
      <c r="U13" s="2">
        <v>3</v>
      </c>
      <c r="V13" s="2" t="s">
        <v>104</v>
      </c>
      <c r="W13" s="2" t="s">
        <v>248</v>
      </c>
      <c r="X13" s="2" t="s">
        <v>211</v>
      </c>
      <c r="Y13" s="2" t="s">
        <v>195</v>
      </c>
      <c r="Z13" s="2">
        <v>1.004</v>
      </c>
      <c r="AA13" s="2">
        <v>0.99</v>
      </c>
      <c r="AB13" s="2">
        <v>1.019</v>
      </c>
    </row>
    <row r="14" spans="1:28">
      <c r="A14" s="2">
        <v>531</v>
      </c>
      <c r="B14" s="2">
        <v>5</v>
      </c>
      <c r="C14" s="2"/>
      <c r="D14" s="2">
        <v>2020</v>
      </c>
      <c r="E14" s="2"/>
      <c r="F14" s="2" t="s">
        <v>28</v>
      </c>
      <c r="G14" s="2" t="s">
        <v>245</v>
      </c>
      <c r="H14" s="2" t="s">
        <v>245</v>
      </c>
      <c r="I14" s="2" t="s">
        <v>102</v>
      </c>
      <c r="J14" s="2" t="s">
        <v>110</v>
      </c>
      <c r="K14" s="2" t="s">
        <v>111</v>
      </c>
      <c r="L14" s="2"/>
      <c r="M14" s="2"/>
      <c r="N14" s="2" t="s">
        <v>42</v>
      </c>
      <c r="O14" s="2"/>
      <c r="P14" s="2"/>
      <c r="Q14" s="2" t="s">
        <v>247</v>
      </c>
      <c r="R14" s="2" t="s">
        <v>35</v>
      </c>
      <c r="S14" s="2"/>
      <c r="T14" s="2">
        <v>4</v>
      </c>
      <c r="U14" s="2">
        <v>4</v>
      </c>
      <c r="V14" s="2" t="s">
        <v>104</v>
      </c>
      <c r="W14" s="2" t="s">
        <v>248</v>
      </c>
      <c r="X14" s="2" t="s">
        <v>211</v>
      </c>
      <c r="Y14" s="2" t="s">
        <v>195</v>
      </c>
      <c r="Z14" s="2">
        <v>1.006</v>
      </c>
      <c r="AA14" s="2">
        <v>0.992</v>
      </c>
      <c r="AB14" s="2">
        <v>1.021</v>
      </c>
    </row>
    <row r="15" spans="1:28">
      <c r="A15" s="2">
        <v>531</v>
      </c>
      <c r="B15" s="2">
        <v>6</v>
      </c>
      <c r="C15" s="2"/>
      <c r="D15" s="2">
        <v>2020</v>
      </c>
      <c r="E15" s="2"/>
      <c r="F15" s="2" t="s">
        <v>28</v>
      </c>
      <c r="G15" s="2" t="s">
        <v>245</v>
      </c>
      <c r="H15" s="2" t="s">
        <v>245</v>
      </c>
      <c r="I15" s="2" t="s">
        <v>102</v>
      </c>
      <c r="J15" s="2" t="s">
        <v>110</v>
      </c>
      <c r="K15" s="2" t="s">
        <v>111</v>
      </c>
      <c r="L15" s="2"/>
      <c r="M15" s="2"/>
      <c r="N15" s="2" t="s">
        <v>42</v>
      </c>
      <c r="O15" s="2"/>
      <c r="P15" s="2"/>
      <c r="Q15" s="2" t="s">
        <v>247</v>
      </c>
      <c r="R15" s="2" t="s">
        <v>35</v>
      </c>
      <c r="S15" s="2"/>
      <c r="T15" s="2">
        <v>5</v>
      </c>
      <c r="U15" s="2">
        <v>5</v>
      </c>
      <c r="V15" s="2" t="s">
        <v>104</v>
      </c>
      <c r="W15" s="2" t="s">
        <v>248</v>
      </c>
      <c r="X15" s="2" t="s">
        <v>211</v>
      </c>
      <c r="Y15" s="2" t="s">
        <v>195</v>
      </c>
      <c r="Z15" s="2">
        <v>1.006</v>
      </c>
      <c r="AA15" s="2">
        <v>0.991</v>
      </c>
      <c r="AB15" s="2">
        <v>1.02</v>
      </c>
    </row>
    <row r="16" spans="1:28">
      <c r="A16" s="2">
        <v>531</v>
      </c>
      <c r="B16" s="2">
        <v>7</v>
      </c>
      <c r="C16" s="2"/>
      <c r="D16" s="2">
        <v>2020</v>
      </c>
      <c r="E16" s="2"/>
      <c r="F16" s="2" t="s">
        <v>28</v>
      </c>
      <c r="G16" s="2" t="s">
        <v>245</v>
      </c>
      <c r="H16" s="2" t="s">
        <v>245</v>
      </c>
      <c r="I16" s="2" t="s">
        <v>102</v>
      </c>
      <c r="J16" s="2" t="s">
        <v>110</v>
      </c>
      <c r="K16" s="2" t="s">
        <v>111</v>
      </c>
      <c r="L16" s="2"/>
      <c r="M16" s="2"/>
      <c r="N16" s="2" t="s">
        <v>42</v>
      </c>
      <c r="O16" s="2"/>
      <c r="P16" s="2"/>
      <c r="Q16" s="2" t="s">
        <v>247</v>
      </c>
      <c r="R16" s="2" t="s">
        <v>35</v>
      </c>
      <c r="S16" s="2"/>
      <c r="T16" s="2">
        <v>6</v>
      </c>
      <c r="U16" s="2">
        <v>6</v>
      </c>
      <c r="V16" s="2" t="s">
        <v>104</v>
      </c>
      <c r="W16" s="2" t="s">
        <v>248</v>
      </c>
      <c r="X16" s="2" t="s">
        <v>211</v>
      </c>
      <c r="Y16" s="2" t="s">
        <v>195</v>
      </c>
      <c r="Z16" s="2">
        <v>0.995</v>
      </c>
      <c r="AA16" s="2">
        <v>0.981</v>
      </c>
      <c r="AB16" s="2">
        <v>1.01</v>
      </c>
    </row>
    <row r="17" spans="1:28">
      <c r="A17" s="2">
        <v>531</v>
      </c>
      <c r="B17" s="2">
        <v>8</v>
      </c>
      <c r="C17" s="2"/>
      <c r="D17" s="2">
        <v>2020</v>
      </c>
      <c r="E17" s="2"/>
      <c r="F17" s="2" t="s">
        <v>28</v>
      </c>
      <c r="G17" s="2" t="s">
        <v>245</v>
      </c>
      <c r="H17" s="2" t="s">
        <v>245</v>
      </c>
      <c r="I17" s="2" t="s">
        <v>102</v>
      </c>
      <c r="J17" s="2" t="s">
        <v>110</v>
      </c>
      <c r="K17" s="2" t="s">
        <v>111</v>
      </c>
      <c r="L17" s="2"/>
      <c r="M17" s="2"/>
      <c r="N17" s="2" t="s">
        <v>42</v>
      </c>
      <c r="O17" s="2"/>
      <c r="P17" s="2"/>
      <c r="Q17" s="2" t="s">
        <v>247</v>
      </c>
      <c r="R17" s="2" t="s">
        <v>35</v>
      </c>
      <c r="S17" s="2"/>
      <c r="T17" s="2">
        <v>7</v>
      </c>
      <c r="U17" s="2">
        <v>7</v>
      </c>
      <c r="V17" s="2" t="s">
        <v>104</v>
      </c>
      <c r="W17" s="2" t="s">
        <v>248</v>
      </c>
      <c r="X17" s="2" t="s">
        <v>211</v>
      </c>
      <c r="Y17" s="2" t="s">
        <v>195</v>
      </c>
      <c r="Z17" s="2">
        <v>0.998</v>
      </c>
      <c r="AA17" s="2">
        <v>0.984</v>
      </c>
      <c r="AB17" s="2">
        <v>1.013</v>
      </c>
    </row>
    <row r="18" spans="1:28">
      <c r="A18" s="2">
        <v>579</v>
      </c>
      <c r="B18" s="2">
        <v>1</v>
      </c>
      <c r="C18" s="2" t="s">
        <v>249</v>
      </c>
      <c r="D18" s="2">
        <v>2009</v>
      </c>
      <c r="E18" s="2" t="s">
        <v>250</v>
      </c>
      <c r="F18" s="2" t="s">
        <v>45</v>
      </c>
      <c r="G18" s="2" t="s">
        <v>251</v>
      </c>
      <c r="H18" s="2" t="s">
        <v>251</v>
      </c>
      <c r="I18" s="2" t="s">
        <v>30</v>
      </c>
      <c r="J18" s="2" t="s">
        <v>31</v>
      </c>
      <c r="K18" s="2" t="s">
        <v>32</v>
      </c>
      <c r="L18" s="2" t="s">
        <v>252</v>
      </c>
      <c r="M18" s="2" t="s">
        <v>156</v>
      </c>
      <c r="N18" s="2" t="s">
        <v>42</v>
      </c>
      <c r="O18" s="2"/>
      <c r="P18" s="2" t="s">
        <v>253</v>
      </c>
      <c r="Q18" s="2" t="s">
        <v>254</v>
      </c>
      <c r="R18" s="2" t="s">
        <v>35</v>
      </c>
      <c r="S18" s="2"/>
      <c r="T18" s="2" t="s">
        <v>73</v>
      </c>
      <c r="U18" s="2">
        <v>1.5</v>
      </c>
      <c r="V18" s="2" t="s">
        <v>37</v>
      </c>
      <c r="W18" s="2" t="s">
        <v>255</v>
      </c>
      <c r="X18" s="2" t="s">
        <v>211</v>
      </c>
      <c r="Y18" s="2" t="s">
        <v>39</v>
      </c>
      <c r="Z18" s="2">
        <v>1.026</v>
      </c>
      <c r="AA18" s="2">
        <v>0.941</v>
      </c>
      <c r="AB18" s="2">
        <v>1.118</v>
      </c>
    </row>
    <row r="19" spans="1:28">
      <c r="A19" s="2">
        <v>579</v>
      </c>
      <c r="B19" s="2">
        <v>2</v>
      </c>
      <c r="C19" s="2"/>
      <c r="D19" s="2">
        <v>2009</v>
      </c>
      <c r="E19" s="2"/>
      <c r="F19" s="2" t="s">
        <v>45</v>
      </c>
      <c r="G19" s="2" t="s">
        <v>256</v>
      </c>
      <c r="H19" s="2" t="s">
        <v>257</v>
      </c>
      <c r="I19" s="2" t="s">
        <v>30</v>
      </c>
      <c r="J19" s="2" t="s">
        <v>77</v>
      </c>
      <c r="K19" s="2" t="s">
        <v>32</v>
      </c>
      <c r="L19" s="2"/>
      <c r="M19" s="2"/>
      <c r="N19" s="2" t="s">
        <v>42</v>
      </c>
      <c r="O19" s="2"/>
      <c r="P19" s="2"/>
      <c r="Q19" s="2"/>
      <c r="R19" s="2" t="s">
        <v>35</v>
      </c>
      <c r="S19" s="2"/>
      <c r="T19" s="2" t="s">
        <v>73</v>
      </c>
      <c r="U19" s="2">
        <v>1.5</v>
      </c>
      <c r="V19" s="2" t="s">
        <v>37</v>
      </c>
      <c r="W19" s="2" t="s">
        <v>255</v>
      </c>
      <c r="X19" s="2" t="s">
        <v>211</v>
      </c>
      <c r="Y19" s="2" t="s">
        <v>39</v>
      </c>
      <c r="Z19" s="2">
        <v>0.997</v>
      </c>
      <c r="AA19" s="2">
        <v>0.927</v>
      </c>
      <c r="AB19" s="2">
        <v>1.073</v>
      </c>
    </row>
    <row r="20" spans="1:28">
      <c r="A20" s="2">
        <v>579</v>
      </c>
      <c r="B20" s="2">
        <v>3</v>
      </c>
      <c r="C20" s="2"/>
      <c r="D20" s="2">
        <v>2009</v>
      </c>
      <c r="E20" s="2"/>
      <c r="F20" s="2" t="s">
        <v>45</v>
      </c>
      <c r="G20" s="2" t="s">
        <v>258</v>
      </c>
      <c r="H20" s="2" t="s">
        <v>259</v>
      </c>
      <c r="I20" s="2" t="s">
        <v>30</v>
      </c>
      <c r="J20" s="2" t="s">
        <v>48</v>
      </c>
      <c r="K20" s="2" t="s">
        <v>32</v>
      </c>
      <c r="L20" s="2"/>
      <c r="M20" s="2"/>
      <c r="N20" s="2" t="s">
        <v>42</v>
      </c>
      <c r="O20" s="2"/>
      <c r="P20" s="2"/>
      <c r="Q20" s="2"/>
      <c r="R20" s="2" t="s">
        <v>35</v>
      </c>
      <c r="S20" s="2"/>
      <c r="T20" s="2" t="s">
        <v>73</v>
      </c>
      <c r="U20" s="2">
        <v>1.5</v>
      </c>
      <c r="V20" s="2" t="s">
        <v>37</v>
      </c>
      <c r="W20" s="2" t="s">
        <v>255</v>
      </c>
      <c r="X20" s="2" t="s">
        <v>211</v>
      </c>
      <c r="Y20" s="2" t="s">
        <v>39</v>
      </c>
      <c r="Z20" s="2">
        <v>1.005</v>
      </c>
      <c r="AA20" s="2">
        <v>0.952</v>
      </c>
      <c r="AB20" s="2">
        <v>1.061</v>
      </c>
    </row>
    <row r="21" spans="1:28">
      <c r="A21" s="2">
        <v>579</v>
      </c>
      <c r="B21" s="2">
        <v>4</v>
      </c>
      <c r="C21" s="2"/>
      <c r="D21" s="2">
        <v>2009</v>
      </c>
      <c r="E21" s="2"/>
      <c r="F21" s="2" t="s">
        <v>45</v>
      </c>
      <c r="G21" s="2" t="s">
        <v>260</v>
      </c>
      <c r="H21" s="2" t="s">
        <v>261</v>
      </c>
      <c r="I21" s="2" t="s">
        <v>30</v>
      </c>
      <c r="J21" s="2" t="s">
        <v>77</v>
      </c>
      <c r="K21" s="2" t="s">
        <v>32</v>
      </c>
      <c r="L21" s="2"/>
      <c r="M21" s="2"/>
      <c r="N21" s="2" t="s">
        <v>42</v>
      </c>
      <c r="O21" s="2"/>
      <c r="P21" s="2"/>
      <c r="Q21" s="2"/>
      <c r="R21" s="2" t="s">
        <v>35</v>
      </c>
      <c r="S21" s="2"/>
      <c r="T21" s="2" t="s">
        <v>73</v>
      </c>
      <c r="U21" s="2">
        <v>1.5</v>
      </c>
      <c r="V21" s="2" t="s">
        <v>37</v>
      </c>
      <c r="W21" s="2" t="s">
        <v>255</v>
      </c>
      <c r="X21" s="2" t="s">
        <v>211</v>
      </c>
      <c r="Y21" s="2" t="s">
        <v>39</v>
      </c>
      <c r="Z21" s="2">
        <v>1.038</v>
      </c>
      <c r="AA21" s="2">
        <v>0.865</v>
      </c>
      <c r="AB21" s="2">
        <v>1.245</v>
      </c>
    </row>
    <row r="22" spans="1:28">
      <c r="A22" s="2">
        <v>579</v>
      </c>
      <c r="B22" s="2">
        <v>5</v>
      </c>
      <c r="C22" s="2"/>
      <c r="D22" s="2">
        <v>2009</v>
      </c>
      <c r="E22" s="2"/>
      <c r="F22" s="2" t="s">
        <v>45</v>
      </c>
      <c r="G22" s="2" t="s">
        <v>200</v>
      </c>
      <c r="H22" s="2" t="s">
        <v>201</v>
      </c>
      <c r="I22" s="2" t="s">
        <v>30</v>
      </c>
      <c r="J22" s="2" t="s">
        <v>48</v>
      </c>
      <c r="K22" s="2" t="s">
        <v>32</v>
      </c>
      <c r="L22" s="2"/>
      <c r="M22" s="2"/>
      <c r="N22" s="2" t="s">
        <v>42</v>
      </c>
      <c r="O22" s="2"/>
      <c r="P22" s="2"/>
      <c r="Q22" s="2"/>
      <c r="R22" s="2" t="s">
        <v>35</v>
      </c>
      <c r="S22" s="2"/>
      <c r="T22" s="2" t="s">
        <v>73</v>
      </c>
      <c r="U22" s="2">
        <v>1.5</v>
      </c>
      <c r="V22" s="2" t="s">
        <v>37</v>
      </c>
      <c r="W22" s="2" t="s">
        <v>255</v>
      </c>
      <c r="X22" s="2" t="s">
        <v>211</v>
      </c>
      <c r="Y22" s="2" t="s">
        <v>39</v>
      </c>
      <c r="Z22" s="2">
        <v>1.036</v>
      </c>
      <c r="AA22" s="2">
        <v>1.012</v>
      </c>
      <c r="AB22" s="2">
        <v>1.061</v>
      </c>
    </row>
    <row r="23" spans="1:28">
      <c r="A23" s="2">
        <v>579</v>
      </c>
      <c r="B23" s="2">
        <v>6</v>
      </c>
      <c r="C23" s="2"/>
      <c r="D23" s="2">
        <v>2009</v>
      </c>
      <c r="E23" s="2"/>
      <c r="F23" s="2" t="s">
        <v>45</v>
      </c>
      <c r="G23" s="2" t="s">
        <v>262</v>
      </c>
      <c r="H23" s="2" t="s">
        <v>263</v>
      </c>
      <c r="I23" s="2" t="s">
        <v>30</v>
      </c>
      <c r="J23" s="2" t="s">
        <v>122</v>
      </c>
      <c r="K23" s="2" t="s">
        <v>32</v>
      </c>
      <c r="L23" s="2"/>
      <c r="M23" s="2"/>
      <c r="N23" s="2" t="s">
        <v>42</v>
      </c>
      <c r="O23" s="2"/>
      <c r="P23" s="2"/>
      <c r="Q23" s="2"/>
      <c r="R23" s="2" t="s">
        <v>35</v>
      </c>
      <c r="S23" s="2"/>
      <c r="T23" s="2" t="s">
        <v>73</v>
      </c>
      <c r="U23" s="2">
        <v>1.5</v>
      </c>
      <c r="V23" s="2" t="s">
        <v>37</v>
      </c>
      <c r="W23" s="2" t="s">
        <v>255</v>
      </c>
      <c r="X23" s="2" t="s">
        <v>211</v>
      </c>
      <c r="Y23" s="2" t="s">
        <v>39</v>
      </c>
      <c r="Z23" s="2">
        <v>1.036</v>
      </c>
      <c r="AA23" s="2">
        <v>0.986</v>
      </c>
      <c r="AB23" s="2">
        <v>1.089</v>
      </c>
    </row>
    <row r="24" spans="1:28">
      <c r="A24" s="2">
        <v>579</v>
      </c>
      <c r="B24" s="2">
        <v>7</v>
      </c>
      <c r="C24" s="2"/>
      <c r="D24" s="2">
        <v>2009</v>
      </c>
      <c r="E24" s="2"/>
      <c r="F24" s="2" t="s">
        <v>45</v>
      </c>
      <c r="G24" s="2" t="s">
        <v>264</v>
      </c>
      <c r="H24" s="2" t="s">
        <v>265</v>
      </c>
      <c r="I24" s="2" t="s">
        <v>30</v>
      </c>
      <c r="J24" s="2" t="s">
        <v>48</v>
      </c>
      <c r="K24" s="2" t="s">
        <v>32</v>
      </c>
      <c r="L24" s="2"/>
      <c r="M24" s="2"/>
      <c r="N24" s="2" t="s">
        <v>42</v>
      </c>
      <c r="O24" s="2"/>
      <c r="P24" s="2"/>
      <c r="Q24" s="2"/>
      <c r="R24" s="2" t="s">
        <v>35</v>
      </c>
      <c r="S24" s="2"/>
      <c r="T24" s="2" t="s">
        <v>73</v>
      </c>
      <c r="U24" s="2">
        <v>1.5</v>
      </c>
      <c r="V24" s="2" t="s">
        <v>37</v>
      </c>
      <c r="W24" s="2" t="s">
        <v>255</v>
      </c>
      <c r="X24" s="2" t="s">
        <v>211</v>
      </c>
      <c r="Y24" s="2" t="s">
        <v>39</v>
      </c>
      <c r="Z24" s="2">
        <v>0.991</v>
      </c>
      <c r="AA24" s="2">
        <v>0.939</v>
      </c>
      <c r="AB24" s="2">
        <v>1.046</v>
      </c>
    </row>
    <row r="25" spans="1:28">
      <c r="A25" s="2">
        <v>579</v>
      </c>
      <c r="B25" s="2">
        <v>8</v>
      </c>
      <c r="C25" s="2"/>
      <c r="D25" s="2">
        <v>2009</v>
      </c>
      <c r="E25" s="2"/>
      <c r="F25" s="2" t="s">
        <v>45</v>
      </c>
      <c r="G25" s="2" t="s">
        <v>266</v>
      </c>
      <c r="H25" s="2" t="s">
        <v>267</v>
      </c>
      <c r="I25" s="2" t="s">
        <v>30</v>
      </c>
      <c r="J25" s="2" t="s">
        <v>31</v>
      </c>
      <c r="K25" s="2" t="s">
        <v>32</v>
      </c>
      <c r="L25" s="2"/>
      <c r="M25" s="2"/>
      <c r="N25" s="2" t="s">
        <v>42</v>
      </c>
      <c r="O25" s="2"/>
      <c r="P25" s="2"/>
      <c r="Q25" s="2"/>
      <c r="R25" s="2" t="s">
        <v>35</v>
      </c>
      <c r="S25" s="2"/>
      <c r="T25" s="2" t="s">
        <v>73</v>
      </c>
      <c r="U25" s="2">
        <v>1.5</v>
      </c>
      <c r="V25" s="2" t="s">
        <v>37</v>
      </c>
      <c r="W25" s="2" t="s">
        <v>255</v>
      </c>
      <c r="X25" s="2" t="s">
        <v>211</v>
      </c>
      <c r="Y25" s="2" t="s">
        <v>39</v>
      </c>
      <c r="Z25" s="2">
        <v>0.95</v>
      </c>
      <c r="AA25" s="2">
        <v>0.886</v>
      </c>
      <c r="AB25" s="2">
        <v>1.019</v>
      </c>
    </row>
    <row r="26" spans="1:28">
      <c r="A26" s="2">
        <v>579</v>
      </c>
      <c r="B26" s="2">
        <v>9</v>
      </c>
      <c r="C26" s="2"/>
      <c r="D26" s="2">
        <v>2009</v>
      </c>
      <c r="E26" s="2"/>
      <c r="F26" s="2" t="s">
        <v>45</v>
      </c>
      <c r="G26" s="2" t="s">
        <v>268</v>
      </c>
      <c r="H26" s="2" t="s">
        <v>269</v>
      </c>
      <c r="I26" s="2" t="s">
        <v>30</v>
      </c>
      <c r="J26" s="2" t="s">
        <v>77</v>
      </c>
      <c r="K26" s="2" t="s">
        <v>32</v>
      </c>
      <c r="L26" s="2"/>
      <c r="M26" s="2"/>
      <c r="N26" s="2" t="s">
        <v>42</v>
      </c>
      <c r="O26" s="2"/>
      <c r="P26" s="2"/>
      <c r="Q26" s="2"/>
      <c r="R26" s="2" t="s">
        <v>35</v>
      </c>
      <c r="S26" s="2"/>
      <c r="T26" s="2" t="s">
        <v>73</v>
      </c>
      <c r="U26" s="2">
        <v>1.5</v>
      </c>
      <c r="V26" s="2" t="s">
        <v>37</v>
      </c>
      <c r="W26" s="2" t="s">
        <v>255</v>
      </c>
      <c r="X26" s="2" t="s">
        <v>211</v>
      </c>
      <c r="Y26" s="2" t="s">
        <v>39</v>
      </c>
      <c r="Z26" s="2">
        <v>1.084</v>
      </c>
      <c r="AA26" s="2">
        <v>1.037</v>
      </c>
      <c r="AB26" s="2">
        <v>1.132</v>
      </c>
    </row>
    <row r="27" spans="1:28">
      <c r="A27" s="2">
        <v>579</v>
      </c>
      <c r="B27" s="2">
        <v>10</v>
      </c>
      <c r="C27" s="2"/>
      <c r="D27" s="2">
        <v>2009</v>
      </c>
      <c r="E27" s="2"/>
      <c r="F27" s="2" t="s">
        <v>45</v>
      </c>
      <c r="G27" s="2" t="s">
        <v>270</v>
      </c>
      <c r="H27" s="2" t="s">
        <v>271</v>
      </c>
      <c r="I27" s="2" t="s">
        <v>30</v>
      </c>
      <c r="J27" s="2" t="s">
        <v>122</v>
      </c>
      <c r="K27" s="2" t="s">
        <v>32</v>
      </c>
      <c r="L27" s="2"/>
      <c r="M27" s="2"/>
      <c r="N27" s="2" t="s">
        <v>42</v>
      </c>
      <c r="O27" s="2"/>
      <c r="P27" s="2"/>
      <c r="Q27" s="2"/>
      <c r="R27" s="2" t="s">
        <v>35</v>
      </c>
      <c r="S27" s="2"/>
      <c r="T27" s="2" t="s">
        <v>73</v>
      </c>
      <c r="U27" s="2">
        <v>1.5</v>
      </c>
      <c r="V27" s="2" t="s">
        <v>37</v>
      </c>
      <c r="W27" s="2" t="s">
        <v>255</v>
      </c>
      <c r="X27" s="2" t="s">
        <v>211</v>
      </c>
      <c r="Y27" s="2" t="s">
        <v>39</v>
      </c>
      <c r="Z27" s="2">
        <v>0.976</v>
      </c>
      <c r="AA27" s="2">
        <v>0.874</v>
      </c>
      <c r="AB27" s="2">
        <v>1.09</v>
      </c>
    </row>
    <row r="28" spans="1:28">
      <c r="A28" s="2">
        <v>579</v>
      </c>
      <c r="B28" s="2">
        <v>11</v>
      </c>
      <c r="C28" s="2"/>
      <c r="D28" s="2">
        <v>2009</v>
      </c>
      <c r="E28" s="2"/>
      <c r="F28" s="2" t="s">
        <v>45</v>
      </c>
      <c r="G28" s="2" t="s">
        <v>272</v>
      </c>
      <c r="H28" s="2" t="s">
        <v>273</v>
      </c>
      <c r="I28" s="2" t="s">
        <v>30</v>
      </c>
      <c r="J28" s="2" t="s">
        <v>31</v>
      </c>
      <c r="K28" s="2" t="s">
        <v>32</v>
      </c>
      <c r="L28" s="2"/>
      <c r="M28" s="2"/>
      <c r="N28" s="2" t="s">
        <v>42</v>
      </c>
      <c r="O28" s="2"/>
      <c r="P28" s="2"/>
      <c r="Q28" s="2"/>
      <c r="R28" s="2" t="s">
        <v>35</v>
      </c>
      <c r="S28" s="2"/>
      <c r="T28" s="2" t="s">
        <v>73</v>
      </c>
      <c r="U28" s="2">
        <v>1.5</v>
      </c>
      <c r="V28" s="2" t="s">
        <v>37</v>
      </c>
      <c r="W28" s="2" t="s">
        <v>255</v>
      </c>
      <c r="X28" s="2" t="s">
        <v>211</v>
      </c>
      <c r="Y28" s="2" t="s">
        <v>39</v>
      </c>
      <c r="Z28" s="2">
        <v>0.938</v>
      </c>
      <c r="AA28" s="2">
        <v>0.845</v>
      </c>
      <c r="AB28" s="2">
        <v>1.041</v>
      </c>
    </row>
    <row r="29" spans="1:28">
      <c r="A29" s="2">
        <v>579</v>
      </c>
      <c r="B29" s="2">
        <v>12</v>
      </c>
      <c r="C29" s="2"/>
      <c r="D29" s="2">
        <v>2009</v>
      </c>
      <c r="E29" s="2"/>
      <c r="F29" s="2" t="s">
        <v>54</v>
      </c>
      <c r="G29" s="2" t="s">
        <v>251</v>
      </c>
      <c r="H29" s="2" t="s">
        <v>251</v>
      </c>
      <c r="I29" s="2" t="s">
        <v>30</v>
      </c>
      <c r="J29" s="2" t="s">
        <v>31</v>
      </c>
      <c r="K29" s="2" t="s">
        <v>32</v>
      </c>
      <c r="L29" s="2"/>
      <c r="M29" s="2"/>
      <c r="N29" s="2" t="s">
        <v>42</v>
      </c>
      <c r="O29" s="2"/>
      <c r="P29" s="2"/>
      <c r="Q29" s="2"/>
      <c r="R29" s="2" t="s">
        <v>35</v>
      </c>
      <c r="S29" s="2"/>
      <c r="T29" s="2" t="s">
        <v>73</v>
      </c>
      <c r="U29" s="2">
        <v>1.5</v>
      </c>
      <c r="V29" s="2" t="s">
        <v>37</v>
      </c>
      <c r="W29" s="2" t="s">
        <v>255</v>
      </c>
      <c r="X29" s="2" t="s">
        <v>211</v>
      </c>
      <c r="Y29" s="2" t="s">
        <v>39</v>
      </c>
      <c r="Z29" s="2">
        <v>1.016</v>
      </c>
      <c r="AA29" s="2">
        <v>0.95</v>
      </c>
      <c r="AB29" s="2">
        <v>1.086</v>
      </c>
    </row>
    <row r="30" spans="1:28">
      <c r="A30" s="2">
        <v>579</v>
      </c>
      <c r="B30" s="2">
        <v>13</v>
      </c>
      <c r="C30" s="2"/>
      <c r="D30" s="2">
        <v>2009</v>
      </c>
      <c r="E30" s="2"/>
      <c r="F30" s="2" t="s">
        <v>54</v>
      </c>
      <c r="G30" s="2" t="s">
        <v>256</v>
      </c>
      <c r="H30" s="2" t="s">
        <v>257</v>
      </c>
      <c r="I30" s="2" t="s">
        <v>30</v>
      </c>
      <c r="J30" s="2" t="s">
        <v>77</v>
      </c>
      <c r="K30" s="2" t="s">
        <v>32</v>
      </c>
      <c r="L30" s="2"/>
      <c r="M30" s="2"/>
      <c r="N30" s="2" t="s">
        <v>42</v>
      </c>
      <c r="O30" s="2"/>
      <c r="P30" s="2"/>
      <c r="Q30" s="2"/>
      <c r="R30" s="2" t="s">
        <v>35</v>
      </c>
      <c r="S30" s="2"/>
      <c r="T30" s="2" t="s">
        <v>73</v>
      </c>
      <c r="U30" s="2">
        <v>1.5</v>
      </c>
      <c r="V30" s="2" t="s">
        <v>37</v>
      </c>
      <c r="W30" s="2" t="s">
        <v>255</v>
      </c>
      <c r="X30" s="2" t="s">
        <v>211</v>
      </c>
      <c r="Y30" s="2" t="s">
        <v>39</v>
      </c>
      <c r="Z30" s="2">
        <v>0.994</v>
      </c>
      <c r="AA30" s="2">
        <v>0.939</v>
      </c>
      <c r="AB30" s="2">
        <v>1.079</v>
      </c>
    </row>
    <row r="31" spans="1:28">
      <c r="A31" s="2">
        <v>579</v>
      </c>
      <c r="B31" s="2">
        <v>14</v>
      </c>
      <c r="C31" s="2"/>
      <c r="D31" s="2">
        <v>2009</v>
      </c>
      <c r="E31" s="2"/>
      <c r="F31" s="2" t="s">
        <v>54</v>
      </c>
      <c r="G31" s="2" t="s">
        <v>258</v>
      </c>
      <c r="H31" s="2" t="s">
        <v>259</v>
      </c>
      <c r="I31" s="2" t="s">
        <v>30</v>
      </c>
      <c r="J31" s="2" t="s">
        <v>48</v>
      </c>
      <c r="K31" s="2" t="s">
        <v>32</v>
      </c>
      <c r="L31" s="2"/>
      <c r="M31" s="2"/>
      <c r="N31" s="2" t="s">
        <v>42</v>
      </c>
      <c r="O31" s="2"/>
      <c r="P31" s="2"/>
      <c r="Q31" s="2"/>
      <c r="R31" s="2" t="s">
        <v>35</v>
      </c>
      <c r="S31" s="2"/>
      <c r="T31" s="2" t="s">
        <v>73</v>
      </c>
      <c r="U31" s="2">
        <v>1.5</v>
      </c>
      <c r="V31" s="2" t="s">
        <v>37</v>
      </c>
      <c r="W31" s="2" t="s">
        <v>255</v>
      </c>
      <c r="X31" s="2" t="s">
        <v>211</v>
      </c>
      <c r="Y31" s="2" t="s">
        <v>39</v>
      </c>
      <c r="Z31" s="2">
        <v>0.988</v>
      </c>
      <c r="AA31" s="2">
        <v>0.943</v>
      </c>
      <c r="AB31" s="2">
        <v>1.036</v>
      </c>
    </row>
    <row r="32" spans="1:28">
      <c r="A32" s="2">
        <v>579</v>
      </c>
      <c r="B32" s="2">
        <v>15</v>
      </c>
      <c r="C32" s="2"/>
      <c r="D32" s="2">
        <v>2009</v>
      </c>
      <c r="E32" s="2"/>
      <c r="F32" s="2" t="s">
        <v>54</v>
      </c>
      <c r="G32" s="2" t="s">
        <v>260</v>
      </c>
      <c r="H32" s="2" t="s">
        <v>261</v>
      </c>
      <c r="I32" s="2" t="s">
        <v>30</v>
      </c>
      <c r="J32" s="2" t="s">
        <v>77</v>
      </c>
      <c r="K32" s="2" t="s">
        <v>32</v>
      </c>
      <c r="L32" s="2"/>
      <c r="M32" s="2"/>
      <c r="N32" s="2" t="s">
        <v>42</v>
      </c>
      <c r="O32" s="2"/>
      <c r="P32" s="2"/>
      <c r="Q32" s="2"/>
      <c r="R32" s="2" t="s">
        <v>35</v>
      </c>
      <c r="S32" s="2"/>
      <c r="T32" s="2" t="s">
        <v>73</v>
      </c>
      <c r="U32" s="2">
        <v>1.5</v>
      </c>
      <c r="V32" s="2" t="s">
        <v>37</v>
      </c>
      <c r="W32" s="2" t="s">
        <v>255</v>
      </c>
      <c r="X32" s="2" t="s">
        <v>211</v>
      </c>
      <c r="Y32" s="2" t="s">
        <v>39</v>
      </c>
      <c r="Z32" s="2">
        <v>0.954</v>
      </c>
      <c r="AA32" s="2">
        <v>0.804</v>
      </c>
      <c r="AB32" s="2">
        <v>1.132</v>
      </c>
    </row>
    <row r="33" spans="1:28">
      <c r="A33" s="2">
        <v>579</v>
      </c>
      <c r="B33" s="2">
        <v>16</v>
      </c>
      <c r="C33" s="2"/>
      <c r="D33" s="2">
        <v>2009</v>
      </c>
      <c r="E33" s="2"/>
      <c r="F33" s="2" t="s">
        <v>54</v>
      </c>
      <c r="G33" s="2" t="s">
        <v>200</v>
      </c>
      <c r="H33" s="2" t="s">
        <v>201</v>
      </c>
      <c r="I33" s="2" t="s">
        <v>30</v>
      </c>
      <c r="J33" s="2" t="s">
        <v>48</v>
      </c>
      <c r="K33" s="2" t="s">
        <v>32</v>
      </c>
      <c r="L33" s="2"/>
      <c r="M33" s="2"/>
      <c r="N33" s="2" t="s">
        <v>42</v>
      </c>
      <c r="O33" s="2"/>
      <c r="P33" s="2"/>
      <c r="Q33" s="2"/>
      <c r="R33" s="2" t="s">
        <v>35</v>
      </c>
      <c r="S33" s="2"/>
      <c r="T33" s="2" t="s">
        <v>73</v>
      </c>
      <c r="U33" s="2">
        <v>1.5</v>
      </c>
      <c r="V33" s="2" t="s">
        <v>37</v>
      </c>
      <c r="W33" s="2" t="s">
        <v>255</v>
      </c>
      <c r="X33" s="2" t="s">
        <v>211</v>
      </c>
      <c r="Y33" s="2" t="s">
        <v>39</v>
      </c>
      <c r="Z33" s="2">
        <v>1.049</v>
      </c>
      <c r="AA33" s="2">
        <v>1.031</v>
      </c>
      <c r="AB33" s="2">
        <v>1.068</v>
      </c>
    </row>
    <row r="34" spans="1:28">
      <c r="A34" s="2">
        <v>579</v>
      </c>
      <c r="B34" s="2">
        <v>17</v>
      </c>
      <c r="C34" s="2"/>
      <c r="D34" s="2">
        <v>2009</v>
      </c>
      <c r="E34" s="2"/>
      <c r="F34" s="2" t="s">
        <v>54</v>
      </c>
      <c r="G34" s="2" t="s">
        <v>262</v>
      </c>
      <c r="H34" s="2" t="s">
        <v>263</v>
      </c>
      <c r="I34" s="2" t="s">
        <v>30</v>
      </c>
      <c r="J34" s="2" t="s">
        <v>122</v>
      </c>
      <c r="K34" s="2" t="s">
        <v>32</v>
      </c>
      <c r="L34" s="2"/>
      <c r="M34" s="2"/>
      <c r="N34" s="2" t="s">
        <v>42</v>
      </c>
      <c r="O34" s="2"/>
      <c r="P34" s="2"/>
      <c r="Q34" s="2"/>
      <c r="R34" s="2" t="s">
        <v>35</v>
      </c>
      <c r="S34" s="2"/>
      <c r="T34" s="2" t="s">
        <v>73</v>
      </c>
      <c r="U34" s="2">
        <v>1.5</v>
      </c>
      <c r="V34" s="2" t="s">
        <v>37</v>
      </c>
      <c r="W34" s="2" t="s">
        <v>255</v>
      </c>
      <c r="X34" s="2" t="s">
        <v>211</v>
      </c>
      <c r="Y34" s="2" t="s">
        <v>39</v>
      </c>
      <c r="Z34" s="2">
        <v>1.051</v>
      </c>
      <c r="AA34" s="2">
        <v>1.01</v>
      </c>
      <c r="AB34" s="2">
        <v>1.092</v>
      </c>
    </row>
    <row r="35" spans="1:28">
      <c r="A35" s="2">
        <v>579</v>
      </c>
      <c r="B35" s="2">
        <v>18</v>
      </c>
      <c r="C35" s="2"/>
      <c r="D35" s="2">
        <v>2009</v>
      </c>
      <c r="E35" s="2"/>
      <c r="F35" s="2" t="s">
        <v>54</v>
      </c>
      <c r="G35" s="2" t="s">
        <v>264</v>
      </c>
      <c r="H35" s="2" t="s">
        <v>265</v>
      </c>
      <c r="I35" s="2" t="s">
        <v>30</v>
      </c>
      <c r="J35" s="2" t="s">
        <v>48</v>
      </c>
      <c r="K35" s="2" t="s">
        <v>32</v>
      </c>
      <c r="L35" s="2"/>
      <c r="M35" s="2"/>
      <c r="N35" s="2" t="s">
        <v>42</v>
      </c>
      <c r="O35" s="2"/>
      <c r="P35" s="2"/>
      <c r="Q35" s="2"/>
      <c r="R35" s="2" t="s">
        <v>35</v>
      </c>
      <c r="S35" s="2"/>
      <c r="T35" s="2" t="s">
        <v>73</v>
      </c>
      <c r="U35" s="2">
        <v>1.5</v>
      </c>
      <c r="V35" s="2" t="s">
        <v>37</v>
      </c>
      <c r="W35" s="2" t="s">
        <v>255</v>
      </c>
      <c r="X35" s="2" t="s">
        <v>211</v>
      </c>
      <c r="Y35" s="2" t="s">
        <v>39</v>
      </c>
      <c r="Z35" s="2">
        <v>1.019</v>
      </c>
      <c r="AA35" s="2">
        <v>0.974</v>
      </c>
      <c r="AB35" s="2">
        <v>1.067</v>
      </c>
    </row>
    <row r="36" spans="1:28">
      <c r="A36" s="2">
        <v>579</v>
      </c>
      <c r="B36" s="2">
        <v>19</v>
      </c>
      <c r="C36" s="2"/>
      <c r="D36" s="2">
        <v>2009</v>
      </c>
      <c r="E36" s="2"/>
      <c r="F36" s="2" t="s">
        <v>54</v>
      </c>
      <c r="G36" s="2" t="s">
        <v>266</v>
      </c>
      <c r="H36" s="2" t="s">
        <v>267</v>
      </c>
      <c r="I36" s="2" t="s">
        <v>30</v>
      </c>
      <c r="J36" s="2" t="s">
        <v>31</v>
      </c>
      <c r="K36" s="2" t="s">
        <v>32</v>
      </c>
      <c r="L36" s="2"/>
      <c r="M36" s="2"/>
      <c r="N36" s="2" t="s">
        <v>42</v>
      </c>
      <c r="O36" s="2"/>
      <c r="P36" s="2"/>
      <c r="Q36" s="2"/>
      <c r="R36" s="2" t="s">
        <v>35</v>
      </c>
      <c r="S36" s="2"/>
      <c r="T36" s="2" t="s">
        <v>73</v>
      </c>
      <c r="U36" s="2">
        <v>1.5</v>
      </c>
      <c r="V36" s="2" t="s">
        <v>37</v>
      </c>
      <c r="W36" s="2" t="s">
        <v>255</v>
      </c>
      <c r="X36" s="2" t="s">
        <v>211</v>
      </c>
      <c r="Y36" s="2" t="s">
        <v>39</v>
      </c>
      <c r="Z36" s="2">
        <v>1.069</v>
      </c>
      <c r="AA36" s="2">
        <v>1.01</v>
      </c>
      <c r="AB36" s="2">
        <v>1.132</v>
      </c>
    </row>
    <row r="37" spans="1:28">
      <c r="A37" s="2">
        <v>579</v>
      </c>
      <c r="B37" s="2">
        <v>20</v>
      </c>
      <c r="C37" s="2"/>
      <c r="D37" s="2">
        <v>2009</v>
      </c>
      <c r="E37" s="2"/>
      <c r="F37" s="2" t="s">
        <v>54</v>
      </c>
      <c r="G37" s="2" t="s">
        <v>268</v>
      </c>
      <c r="H37" s="2" t="s">
        <v>269</v>
      </c>
      <c r="I37" s="2" t="s">
        <v>30</v>
      </c>
      <c r="J37" s="2" t="s">
        <v>77</v>
      </c>
      <c r="K37" s="2" t="s">
        <v>32</v>
      </c>
      <c r="L37" s="2"/>
      <c r="M37" s="2"/>
      <c r="N37" s="2" t="s">
        <v>42</v>
      </c>
      <c r="O37" s="2"/>
      <c r="P37" s="2"/>
      <c r="Q37" s="2"/>
      <c r="R37" s="2" t="s">
        <v>35</v>
      </c>
      <c r="S37" s="2"/>
      <c r="T37" s="2" t="s">
        <v>73</v>
      </c>
      <c r="U37" s="2">
        <v>1.5</v>
      </c>
      <c r="V37" s="2" t="s">
        <v>37</v>
      </c>
      <c r="W37" s="2" t="s">
        <v>255</v>
      </c>
      <c r="X37" s="2" t="s">
        <v>211</v>
      </c>
      <c r="Y37" s="2" t="s">
        <v>39</v>
      </c>
      <c r="Z37" s="2">
        <v>1.052</v>
      </c>
      <c r="AA37" s="2">
        <v>1.017</v>
      </c>
      <c r="AB37" s="2">
        <v>1.089</v>
      </c>
    </row>
    <row r="38" spans="1:28">
      <c r="A38" s="2">
        <v>579</v>
      </c>
      <c r="B38" s="2">
        <v>21</v>
      </c>
      <c r="C38" s="2"/>
      <c r="D38" s="2">
        <v>2009</v>
      </c>
      <c r="E38" s="2"/>
      <c r="F38" s="2" t="s">
        <v>54</v>
      </c>
      <c r="G38" s="2" t="s">
        <v>270</v>
      </c>
      <c r="H38" s="2" t="s">
        <v>271</v>
      </c>
      <c r="I38" s="2" t="s">
        <v>30</v>
      </c>
      <c r="J38" s="2" t="s">
        <v>122</v>
      </c>
      <c r="K38" s="2" t="s">
        <v>32</v>
      </c>
      <c r="L38" s="2"/>
      <c r="M38" s="2"/>
      <c r="N38" s="2" t="s">
        <v>42</v>
      </c>
      <c r="O38" s="2"/>
      <c r="P38" s="2"/>
      <c r="Q38" s="2"/>
      <c r="R38" s="2" t="s">
        <v>35</v>
      </c>
      <c r="S38" s="2"/>
      <c r="T38" s="2" t="s">
        <v>73</v>
      </c>
      <c r="U38" s="2">
        <v>1.5</v>
      </c>
      <c r="V38" s="2" t="s">
        <v>37</v>
      </c>
      <c r="W38" s="2" t="s">
        <v>255</v>
      </c>
      <c r="X38" s="2" t="s">
        <v>211</v>
      </c>
      <c r="Y38" s="2" t="s">
        <v>39</v>
      </c>
      <c r="Z38" s="2">
        <v>0.996</v>
      </c>
      <c r="AA38" s="2">
        <v>0.914</v>
      </c>
      <c r="AB38" s="2">
        <v>1.086</v>
      </c>
    </row>
    <row r="39" spans="1:28">
      <c r="A39" s="2">
        <v>579</v>
      </c>
      <c r="B39" s="2">
        <v>22</v>
      </c>
      <c r="C39" s="2"/>
      <c r="D39" s="2">
        <v>2009</v>
      </c>
      <c r="E39" s="2"/>
      <c r="F39" s="2" t="s">
        <v>54</v>
      </c>
      <c r="G39" s="2" t="s">
        <v>272</v>
      </c>
      <c r="H39" s="2" t="s">
        <v>273</v>
      </c>
      <c r="I39" s="2" t="s">
        <v>30</v>
      </c>
      <c r="J39" s="2" t="s">
        <v>31</v>
      </c>
      <c r="K39" s="2" t="s">
        <v>32</v>
      </c>
      <c r="L39" s="2"/>
      <c r="M39" s="2"/>
      <c r="N39" s="2" t="s">
        <v>42</v>
      </c>
      <c r="O39" s="2"/>
      <c r="P39" s="2"/>
      <c r="Q39" s="2"/>
      <c r="R39" s="2" t="s">
        <v>35</v>
      </c>
      <c r="S39" s="2"/>
      <c r="T39" s="2" t="s">
        <v>73</v>
      </c>
      <c r="U39" s="2">
        <v>1.5</v>
      </c>
      <c r="V39" s="2" t="s">
        <v>37</v>
      </c>
      <c r="W39" s="2" t="s">
        <v>255</v>
      </c>
      <c r="X39" s="2" t="s">
        <v>211</v>
      </c>
      <c r="Y39" s="2" t="s">
        <v>39</v>
      </c>
      <c r="Z39" s="2">
        <v>1.076</v>
      </c>
      <c r="AA39" s="2">
        <v>1.002</v>
      </c>
      <c r="AB39" s="2">
        <v>1.155</v>
      </c>
    </row>
    <row r="40" spans="1:28">
      <c r="A40" s="2">
        <v>579</v>
      </c>
      <c r="B40" s="2">
        <v>23</v>
      </c>
      <c r="C40" s="2"/>
      <c r="D40" s="2">
        <v>2009</v>
      </c>
      <c r="E40" s="2"/>
      <c r="F40" s="2" t="s">
        <v>45</v>
      </c>
      <c r="G40" s="2" t="s">
        <v>274</v>
      </c>
      <c r="H40" s="2" t="s">
        <v>69</v>
      </c>
      <c r="I40" s="2" t="s">
        <v>30</v>
      </c>
      <c r="J40" s="2" t="s">
        <v>31</v>
      </c>
      <c r="K40" s="2" t="s">
        <v>32</v>
      </c>
      <c r="L40" s="2"/>
      <c r="M40" s="2"/>
      <c r="N40" s="2" t="s">
        <v>42</v>
      </c>
      <c r="O40" s="2"/>
      <c r="P40" s="2"/>
      <c r="Q40" s="2"/>
      <c r="R40" s="2" t="s">
        <v>35</v>
      </c>
      <c r="S40" s="2"/>
      <c r="T40" s="2" t="s">
        <v>73</v>
      </c>
      <c r="U40" s="2">
        <v>1.5</v>
      </c>
      <c r="V40" s="2" t="s">
        <v>37</v>
      </c>
      <c r="W40" s="2" t="s">
        <v>275</v>
      </c>
      <c r="X40" s="2" t="s">
        <v>211</v>
      </c>
      <c r="Y40" s="2" t="s">
        <v>39</v>
      </c>
      <c r="Z40" s="2">
        <v>0.995</v>
      </c>
      <c r="AA40" s="2">
        <v>0.973</v>
      </c>
      <c r="AB40" s="2">
        <v>1.017</v>
      </c>
    </row>
    <row r="41" spans="1:28">
      <c r="A41" s="2">
        <v>579</v>
      </c>
      <c r="B41" s="2">
        <v>24</v>
      </c>
      <c r="C41" s="2"/>
      <c r="D41" s="2">
        <v>2009</v>
      </c>
      <c r="E41" s="2"/>
      <c r="F41" s="2" t="s">
        <v>45</v>
      </c>
      <c r="G41" s="2" t="s">
        <v>276</v>
      </c>
      <c r="H41" s="2" t="s">
        <v>76</v>
      </c>
      <c r="I41" s="2" t="s">
        <v>30</v>
      </c>
      <c r="J41" s="2" t="s">
        <v>77</v>
      </c>
      <c r="K41" s="2" t="s">
        <v>32</v>
      </c>
      <c r="L41" s="2"/>
      <c r="M41" s="2"/>
      <c r="N41" s="2" t="s">
        <v>42</v>
      </c>
      <c r="O41" s="2"/>
      <c r="P41" s="2"/>
      <c r="Q41" s="2"/>
      <c r="R41" s="2" t="s">
        <v>35</v>
      </c>
      <c r="S41" s="2"/>
      <c r="T41" s="2" t="s">
        <v>73</v>
      </c>
      <c r="U41" s="2">
        <v>1.5</v>
      </c>
      <c r="V41" s="2" t="s">
        <v>37</v>
      </c>
      <c r="W41" s="2"/>
      <c r="X41" s="2" t="s">
        <v>211</v>
      </c>
      <c r="Y41" s="2" t="s">
        <v>39</v>
      </c>
      <c r="Z41" s="2">
        <v>0.989</v>
      </c>
      <c r="AA41" s="2">
        <v>0.977</v>
      </c>
      <c r="AB41" s="2">
        <v>1.001</v>
      </c>
    </row>
    <row r="42" spans="1:28">
      <c r="A42" s="2">
        <v>579</v>
      </c>
      <c r="B42" s="2">
        <v>25</v>
      </c>
      <c r="C42" s="2"/>
      <c r="D42" s="2">
        <v>2009</v>
      </c>
      <c r="E42" s="2"/>
      <c r="F42" s="2" t="s">
        <v>54</v>
      </c>
      <c r="G42" s="2" t="s">
        <v>274</v>
      </c>
      <c r="H42" s="2" t="s">
        <v>69</v>
      </c>
      <c r="I42" s="2" t="s">
        <v>30</v>
      </c>
      <c r="J42" s="2" t="s">
        <v>31</v>
      </c>
      <c r="K42" s="2" t="s">
        <v>32</v>
      </c>
      <c r="L42" s="2"/>
      <c r="M42" s="2"/>
      <c r="N42" s="2" t="s">
        <v>42</v>
      </c>
      <c r="O42" s="2"/>
      <c r="P42" s="2"/>
      <c r="Q42" s="2"/>
      <c r="R42" s="2" t="s">
        <v>35</v>
      </c>
      <c r="S42" s="2"/>
      <c r="T42" s="2" t="s">
        <v>73</v>
      </c>
      <c r="U42" s="2">
        <v>1.5</v>
      </c>
      <c r="V42" s="2" t="s">
        <v>37</v>
      </c>
      <c r="W42" s="2" t="s">
        <v>275</v>
      </c>
      <c r="X42" s="2" t="s">
        <v>211</v>
      </c>
      <c r="Y42" s="2" t="s">
        <v>39</v>
      </c>
      <c r="Z42" s="2">
        <v>0.989</v>
      </c>
      <c r="AA42" s="2">
        <v>0.975</v>
      </c>
      <c r="AB42" s="2">
        <v>1.003</v>
      </c>
    </row>
    <row r="43" spans="1:28">
      <c r="A43" s="2">
        <v>579</v>
      </c>
      <c r="B43" s="2">
        <v>26</v>
      </c>
      <c r="C43" s="2"/>
      <c r="D43" s="2">
        <v>2009</v>
      </c>
      <c r="E43" s="2"/>
      <c r="F43" s="2" t="s">
        <v>54</v>
      </c>
      <c r="G43" s="2" t="s">
        <v>276</v>
      </c>
      <c r="H43" s="2" t="s">
        <v>76</v>
      </c>
      <c r="I43" s="2" t="s">
        <v>30</v>
      </c>
      <c r="J43" s="2" t="s">
        <v>77</v>
      </c>
      <c r="K43" s="2" t="s">
        <v>32</v>
      </c>
      <c r="L43" s="2"/>
      <c r="M43" s="2"/>
      <c r="N43" s="2" t="s">
        <v>42</v>
      </c>
      <c r="O43" s="2"/>
      <c r="P43" s="2"/>
      <c r="Q43" s="2"/>
      <c r="R43" s="2" t="s">
        <v>35</v>
      </c>
      <c r="S43" s="2"/>
      <c r="T43" s="2" t="s">
        <v>73</v>
      </c>
      <c r="U43" s="2">
        <v>1.5</v>
      </c>
      <c r="V43" s="2" t="s">
        <v>37</v>
      </c>
      <c r="W43" s="2"/>
      <c r="X43" s="2" t="s">
        <v>211</v>
      </c>
      <c r="Y43" s="2" t="s">
        <v>39</v>
      </c>
      <c r="Z43" s="2">
        <v>0.994</v>
      </c>
      <c r="AA43" s="2">
        <v>0.986</v>
      </c>
      <c r="AB43" s="2">
        <v>1.003</v>
      </c>
    </row>
    <row r="44" spans="1:28">
      <c r="A44" s="2">
        <v>579</v>
      </c>
      <c r="B44" s="2">
        <v>27</v>
      </c>
      <c r="C44" s="2"/>
      <c r="D44" s="2">
        <v>2009</v>
      </c>
      <c r="E44" s="2"/>
      <c r="F44" s="2" t="s">
        <v>45</v>
      </c>
      <c r="G44" s="2" t="s">
        <v>274</v>
      </c>
      <c r="H44" s="2" t="s">
        <v>69</v>
      </c>
      <c r="I44" s="2" t="s">
        <v>30</v>
      </c>
      <c r="J44" s="2" t="s">
        <v>31</v>
      </c>
      <c r="K44" s="2" t="s">
        <v>32</v>
      </c>
      <c r="L44" s="2"/>
      <c r="M44" s="2"/>
      <c r="N44" s="2" t="s">
        <v>42</v>
      </c>
      <c r="O44" s="2"/>
      <c r="P44" s="2"/>
      <c r="Q44" s="2"/>
      <c r="R44" s="2" t="s">
        <v>35</v>
      </c>
      <c r="S44" s="2"/>
      <c r="T44" s="2" t="s">
        <v>73</v>
      </c>
      <c r="U44" s="2">
        <v>1.5</v>
      </c>
      <c r="V44" s="2" t="s">
        <v>37</v>
      </c>
      <c r="W44" s="2" t="s">
        <v>277</v>
      </c>
      <c r="X44" s="2" t="s">
        <v>211</v>
      </c>
      <c r="Y44" s="2" t="s">
        <v>39</v>
      </c>
      <c r="Z44" s="2">
        <v>1.004</v>
      </c>
      <c r="AA44" s="2">
        <v>0.969</v>
      </c>
      <c r="AB44" s="2">
        <v>1.04</v>
      </c>
    </row>
    <row r="45" spans="1:28">
      <c r="A45" s="2">
        <v>579</v>
      </c>
      <c r="B45" s="2">
        <v>28</v>
      </c>
      <c r="C45" s="2"/>
      <c r="D45" s="2">
        <v>2009</v>
      </c>
      <c r="E45" s="2"/>
      <c r="F45" s="2" t="s">
        <v>45</v>
      </c>
      <c r="G45" s="2" t="s">
        <v>276</v>
      </c>
      <c r="H45" s="2" t="s">
        <v>76</v>
      </c>
      <c r="I45" s="2" t="s">
        <v>30</v>
      </c>
      <c r="J45" s="2" t="s">
        <v>77</v>
      </c>
      <c r="K45" s="2" t="s">
        <v>32</v>
      </c>
      <c r="L45" s="2"/>
      <c r="M45" s="2"/>
      <c r="N45" s="2" t="s">
        <v>42</v>
      </c>
      <c r="O45" s="2"/>
      <c r="P45" s="2"/>
      <c r="Q45" s="2"/>
      <c r="R45" s="2" t="s">
        <v>35</v>
      </c>
      <c r="S45" s="2"/>
      <c r="T45" s="2" t="s">
        <v>73</v>
      </c>
      <c r="U45" s="2">
        <v>1.5</v>
      </c>
      <c r="V45" s="2" t="s">
        <v>37</v>
      </c>
      <c r="W45" s="2"/>
      <c r="X45" s="2" t="s">
        <v>211</v>
      </c>
      <c r="Y45" s="2" t="s">
        <v>39</v>
      </c>
      <c r="Z45" s="2">
        <v>0.984</v>
      </c>
      <c r="AA45" s="2">
        <v>0.958</v>
      </c>
      <c r="AB45" s="2">
        <v>1.011</v>
      </c>
    </row>
    <row r="46" spans="1:28">
      <c r="A46" s="2">
        <v>579</v>
      </c>
      <c r="B46" s="2">
        <v>29</v>
      </c>
      <c r="C46" s="2"/>
      <c r="D46" s="2">
        <v>2009</v>
      </c>
      <c r="E46" s="2"/>
      <c r="F46" s="2" t="s">
        <v>54</v>
      </c>
      <c r="G46" s="2" t="s">
        <v>274</v>
      </c>
      <c r="H46" s="2" t="s">
        <v>69</v>
      </c>
      <c r="I46" s="2" t="s">
        <v>30</v>
      </c>
      <c r="J46" s="2" t="s">
        <v>31</v>
      </c>
      <c r="K46" s="2" t="s">
        <v>32</v>
      </c>
      <c r="L46" s="2"/>
      <c r="M46" s="2"/>
      <c r="N46" s="2" t="s">
        <v>42</v>
      </c>
      <c r="O46" s="2"/>
      <c r="P46" s="2"/>
      <c r="Q46" s="2"/>
      <c r="R46" s="2" t="s">
        <v>35</v>
      </c>
      <c r="S46" s="2"/>
      <c r="T46" s="2" t="s">
        <v>73</v>
      </c>
      <c r="U46" s="2">
        <v>1.5</v>
      </c>
      <c r="V46" s="2" t="s">
        <v>37</v>
      </c>
      <c r="W46" s="2" t="s">
        <v>278</v>
      </c>
      <c r="X46" s="2" t="s">
        <v>211</v>
      </c>
      <c r="Y46" s="2" t="s">
        <v>39</v>
      </c>
      <c r="Z46" s="2">
        <v>0.981</v>
      </c>
      <c r="AA46" s="2">
        <v>0.958</v>
      </c>
      <c r="AB46" s="2">
        <v>1.005</v>
      </c>
    </row>
    <row r="47" spans="1:28">
      <c r="A47" s="2">
        <v>579</v>
      </c>
      <c r="B47" s="2">
        <v>30</v>
      </c>
      <c r="C47" s="2"/>
      <c r="D47" s="2">
        <v>2009</v>
      </c>
      <c r="E47" s="2"/>
      <c r="F47" s="2" t="s">
        <v>54</v>
      </c>
      <c r="G47" s="2" t="s">
        <v>276</v>
      </c>
      <c r="H47" s="2" t="s">
        <v>76</v>
      </c>
      <c r="I47" s="2" t="s">
        <v>30</v>
      </c>
      <c r="J47" s="2" t="s">
        <v>77</v>
      </c>
      <c r="K47" s="2" t="s">
        <v>32</v>
      </c>
      <c r="L47" s="2"/>
      <c r="M47" s="2"/>
      <c r="N47" s="2" t="s">
        <v>42</v>
      </c>
      <c r="O47" s="2"/>
      <c r="P47" s="2"/>
      <c r="Q47" s="2"/>
      <c r="R47" s="2" t="s">
        <v>35</v>
      </c>
      <c r="S47" s="2"/>
      <c r="T47" s="2" t="s">
        <v>73</v>
      </c>
      <c r="U47" s="2">
        <v>1.5</v>
      </c>
      <c r="V47" s="2" t="s">
        <v>37</v>
      </c>
      <c r="W47" s="2"/>
      <c r="X47" s="2" t="s">
        <v>211</v>
      </c>
      <c r="Y47" s="2" t="s">
        <v>39</v>
      </c>
      <c r="Z47" s="2">
        <v>0.987</v>
      </c>
      <c r="AA47" s="2">
        <v>0.969</v>
      </c>
      <c r="AB47" s="2">
        <v>1.006</v>
      </c>
    </row>
    <row r="48" spans="1:28">
      <c r="A48" s="2">
        <v>847</v>
      </c>
      <c r="B48" s="2">
        <v>1</v>
      </c>
      <c r="C48" s="2" t="s">
        <v>279</v>
      </c>
      <c r="D48" s="2">
        <v>2023</v>
      </c>
      <c r="E48" s="2" t="s">
        <v>280</v>
      </c>
      <c r="F48" s="2" t="s">
        <v>45</v>
      </c>
      <c r="G48" s="2" t="s">
        <v>160</v>
      </c>
      <c r="H48" s="2" t="s">
        <v>160</v>
      </c>
      <c r="I48" s="2" t="s">
        <v>102</v>
      </c>
      <c r="J48" s="2" t="s">
        <v>161</v>
      </c>
      <c r="K48" s="2" t="s">
        <v>111</v>
      </c>
      <c r="L48" s="2" t="s">
        <v>281</v>
      </c>
      <c r="M48" s="2">
        <v>0.544</v>
      </c>
      <c r="N48" s="2" t="s">
        <v>42</v>
      </c>
      <c r="O48" s="2"/>
      <c r="P48" s="2" t="s">
        <v>282</v>
      </c>
      <c r="Q48" s="2" t="s">
        <v>283</v>
      </c>
      <c r="R48" s="2" t="s">
        <v>35</v>
      </c>
      <c r="S48" s="2"/>
      <c r="T48" s="2" t="s">
        <v>132</v>
      </c>
      <c r="U48" s="2">
        <v>3</v>
      </c>
      <c r="V48" s="2" t="s">
        <v>37</v>
      </c>
      <c r="W48" s="2" t="s">
        <v>284</v>
      </c>
      <c r="X48" s="2" t="s">
        <v>211</v>
      </c>
      <c r="Y48" s="2" t="s">
        <v>39</v>
      </c>
      <c r="Z48" s="2">
        <v>1.0073</v>
      </c>
      <c r="AA48" s="2">
        <v>1.003</v>
      </c>
      <c r="AB48" s="2">
        <v>1.0116</v>
      </c>
    </row>
    <row r="49" spans="1:28">
      <c r="A49" s="2">
        <v>847</v>
      </c>
      <c r="B49" s="2">
        <v>2</v>
      </c>
      <c r="C49" s="2"/>
      <c r="D49" s="2">
        <v>2023</v>
      </c>
      <c r="E49" s="2"/>
      <c r="F49" s="2" t="s">
        <v>54</v>
      </c>
      <c r="G49" s="2" t="s">
        <v>160</v>
      </c>
      <c r="H49" s="2" t="s">
        <v>160</v>
      </c>
      <c r="I49" s="2" t="s">
        <v>102</v>
      </c>
      <c r="J49" s="2" t="s">
        <v>161</v>
      </c>
      <c r="K49" s="2" t="s">
        <v>111</v>
      </c>
      <c r="L49" s="2"/>
      <c r="M49" s="2">
        <v>0.544</v>
      </c>
      <c r="N49" s="2" t="s">
        <v>42</v>
      </c>
      <c r="O49" s="2"/>
      <c r="P49" s="2"/>
      <c r="Q49" s="2" t="s">
        <v>283</v>
      </c>
      <c r="R49" s="2" t="s">
        <v>35</v>
      </c>
      <c r="S49" s="2"/>
      <c r="T49" s="2" t="s">
        <v>132</v>
      </c>
      <c r="U49" s="2">
        <v>3</v>
      </c>
      <c r="V49" s="2" t="s">
        <v>37</v>
      </c>
      <c r="W49" s="2" t="s">
        <v>284</v>
      </c>
      <c r="X49" s="2" t="s">
        <v>211</v>
      </c>
      <c r="Y49" s="2" t="s">
        <v>39</v>
      </c>
      <c r="Z49" s="2">
        <v>1.0076</v>
      </c>
      <c r="AA49" s="2">
        <v>1.0037</v>
      </c>
      <c r="AB49" s="2">
        <v>1.0115</v>
      </c>
    </row>
    <row r="50" spans="1:28">
      <c r="A50" s="2">
        <v>943</v>
      </c>
      <c r="B50" s="2">
        <v>1</v>
      </c>
      <c r="C50" s="2" t="s">
        <v>285</v>
      </c>
      <c r="D50" s="2">
        <v>2019</v>
      </c>
      <c r="E50" s="2" t="s">
        <v>286</v>
      </c>
      <c r="F50" s="2" t="s">
        <v>287</v>
      </c>
      <c r="G50" s="2" t="s">
        <v>288</v>
      </c>
      <c r="H50" s="2" t="s">
        <v>288</v>
      </c>
      <c r="I50" s="2" t="s">
        <v>289</v>
      </c>
      <c r="J50" s="2" t="s">
        <v>60</v>
      </c>
      <c r="K50" s="2" t="s">
        <v>111</v>
      </c>
      <c r="L50" s="2">
        <v>238320</v>
      </c>
      <c r="M50" s="2"/>
      <c r="N50" s="2" t="s">
        <v>170</v>
      </c>
      <c r="O50" s="2"/>
      <c r="P50" s="2" t="s">
        <v>290</v>
      </c>
      <c r="Q50" s="2" t="s">
        <v>291</v>
      </c>
      <c r="R50" s="2" t="s">
        <v>35</v>
      </c>
      <c r="S50" s="2"/>
      <c r="T50" s="2" t="s">
        <v>88</v>
      </c>
      <c r="U50" s="2">
        <v>3.5</v>
      </c>
      <c r="V50" s="2" t="s">
        <v>37</v>
      </c>
      <c r="W50" s="2" t="s">
        <v>292</v>
      </c>
      <c r="X50" s="2" t="s">
        <v>211</v>
      </c>
      <c r="Y50" s="2" t="s">
        <v>85</v>
      </c>
      <c r="Z50" s="2">
        <v>1.046</v>
      </c>
      <c r="AA50" s="2">
        <v>1.034</v>
      </c>
      <c r="AB50" s="2">
        <v>1.059</v>
      </c>
    </row>
    <row r="51" spans="1:28">
      <c r="A51" s="2">
        <v>795</v>
      </c>
      <c r="B51" s="2">
        <v>1</v>
      </c>
      <c r="C51" s="2"/>
      <c r="D51" s="2">
        <v>2020</v>
      </c>
      <c r="E51" s="2"/>
      <c r="F51" s="2" t="s">
        <v>293</v>
      </c>
      <c r="G51" s="2" t="s">
        <v>294</v>
      </c>
      <c r="H51" s="2" t="s">
        <v>294</v>
      </c>
      <c r="I51" s="2" t="s">
        <v>30</v>
      </c>
      <c r="J51" s="2" t="s">
        <v>77</v>
      </c>
      <c r="K51" s="2" t="s">
        <v>32</v>
      </c>
      <c r="L51" s="2"/>
      <c r="M51" s="2"/>
      <c r="N51" s="2" t="s">
        <v>42</v>
      </c>
      <c r="O51" s="2"/>
      <c r="P51" s="2"/>
      <c r="Q51" s="2" t="s">
        <v>295</v>
      </c>
      <c r="R51" s="2" t="s">
        <v>35</v>
      </c>
      <c r="S51" s="2"/>
      <c r="T51" s="2"/>
      <c r="U51" s="2"/>
      <c r="V51" s="2"/>
      <c r="W51" s="2" t="s">
        <v>296</v>
      </c>
      <c r="X51" s="2" t="s">
        <v>211</v>
      </c>
      <c r="Y51" s="2" t="s">
        <v>39</v>
      </c>
      <c r="Z51" s="2">
        <v>1.0002</v>
      </c>
      <c r="AA51" s="2">
        <v>0.9862</v>
      </c>
      <c r="AB51" s="2">
        <v>1.0144</v>
      </c>
    </row>
    <row r="52" spans="1:28">
      <c r="A52" s="2">
        <v>795</v>
      </c>
      <c r="B52" s="2">
        <v>2</v>
      </c>
      <c r="C52" s="2"/>
      <c r="D52" s="2">
        <v>2020</v>
      </c>
      <c r="E52" s="2"/>
      <c r="F52" s="2" t="s">
        <v>297</v>
      </c>
      <c r="G52" s="2" t="s">
        <v>294</v>
      </c>
      <c r="H52" s="2" t="s">
        <v>294</v>
      </c>
      <c r="I52" s="2" t="s">
        <v>30</v>
      </c>
      <c r="J52" s="2" t="s">
        <v>77</v>
      </c>
      <c r="K52" s="2" t="s">
        <v>32</v>
      </c>
      <c r="L52" s="2"/>
      <c r="M52" s="2"/>
      <c r="N52" s="2" t="s">
        <v>42</v>
      </c>
      <c r="O52" s="2"/>
      <c r="P52" s="2"/>
      <c r="Q52" s="2" t="s">
        <v>295</v>
      </c>
      <c r="R52" s="2" t="s">
        <v>35</v>
      </c>
      <c r="S52" s="2"/>
      <c r="T52" s="2"/>
      <c r="U52" s="2"/>
      <c r="V52" s="2"/>
      <c r="W52" s="2" t="s">
        <v>296</v>
      </c>
      <c r="X52" s="2" t="s">
        <v>211</v>
      </c>
      <c r="Y52" s="2" t="s">
        <v>39</v>
      </c>
      <c r="Z52" s="2">
        <v>0.9968</v>
      </c>
      <c r="AA52" s="2">
        <v>0.9878</v>
      </c>
      <c r="AB52" s="2">
        <v>1.006</v>
      </c>
    </row>
  </sheetData>
  <autoFilter xmlns:etc="http://www.wps.cn/officeDocument/2017/etCustomData" ref="A1:AB52" etc:filterBottomFollowUsedRange="0">
    <extLst/>
  </autoFilter>
  <hyperlinks>
    <hyperlink ref="E50" r:id="rId3" display="Rongbin Xu" tooltip="https://pubmed.ncbi.nlm.nih.gov/?term=Xu+R&amp;cauthor_id=31661490"/>
  </hyperlinks>
  <pageMargins left="0.7" right="0.7" top="0.75" bottom="0.75" header="0.3" footer="0.3"/>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26"/>
  <sheetViews>
    <sheetView workbookViewId="0">
      <pane xSplit="1" topLeftCell="B1" activePane="topRight" state="frozen"/>
      <selection/>
      <selection pane="topRight" activeCell="H1" sqref="H1"/>
    </sheetView>
  </sheetViews>
  <sheetFormatPr defaultColWidth="9.02654867256637" defaultRowHeight="13.85"/>
  <cols>
    <col min="1" max="91" width="9.02654867256637" style="14"/>
  </cols>
  <sheetData>
    <row r="1" ht="13.9" spans="1:28">
      <c r="A1" s="14" t="s">
        <v>0</v>
      </c>
      <c r="B1" s="14" t="s">
        <v>1</v>
      </c>
      <c r="C1" s="14" t="s">
        <v>2</v>
      </c>
      <c r="D1" s="14" t="s">
        <v>3</v>
      </c>
      <c r="E1" s="14" t="s">
        <v>4</v>
      </c>
      <c r="F1" s="14" t="s">
        <v>5</v>
      </c>
      <c r="G1" s="14" t="s">
        <v>6</v>
      </c>
      <c r="H1" s="14" t="s">
        <v>6</v>
      </c>
      <c r="I1" s="14" t="s">
        <v>7</v>
      </c>
      <c r="J1" s="14" t="s">
        <v>8</v>
      </c>
      <c r="K1" s="14" t="s">
        <v>9</v>
      </c>
      <c r="L1" s="14" t="s">
        <v>10</v>
      </c>
      <c r="M1" s="14" t="s">
        <v>11</v>
      </c>
      <c r="N1" s="14" t="s">
        <v>205</v>
      </c>
      <c r="O1" s="14" t="s">
        <v>13</v>
      </c>
      <c r="P1" s="14" t="s">
        <v>14</v>
      </c>
      <c r="Q1" s="14" t="s">
        <v>15</v>
      </c>
      <c r="R1" s="14" t="s">
        <v>16</v>
      </c>
      <c r="S1" s="14" t="s">
        <v>17</v>
      </c>
      <c r="T1" s="14" t="s">
        <v>18</v>
      </c>
      <c r="U1" s="16" t="s">
        <v>19</v>
      </c>
      <c r="V1" s="14" t="s">
        <v>20</v>
      </c>
      <c r="W1" s="14" t="s">
        <v>21</v>
      </c>
      <c r="X1" s="14"/>
      <c r="Y1" s="14" t="s">
        <v>22</v>
      </c>
      <c r="Z1" s="14" t="s">
        <v>23</v>
      </c>
      <c r="AA1" s="14" t="s">
        <v>24</v>
      </c>
      <c r="AB1" s="14" t="s">
        <v>25</v>
      </c>
    </row>
    <row r="2" spans="1:28">
      <c r="A2" s="14">
        <v>24</v>
      </c>
      <c r="B2" s="14">
        <v>1</v>
      </c>
      <c r="C2" s="14"/>
      <c r="D2" s="14">
        <v>2010</v>
      </c>
      <c r="E2" s="14"/>
      <c r="F2" s="14" t="s">
        <v>28</v>
      </c>
      <c r="G2" s="14" t="s">
        <v>29</v>
      </c>
      <c r="H2" s="14" t="s">
        <v>29</v>
      </c>
      <c r="I2" s="14" t="s">
        <v>30</v>
      </c>
      <c r="J2" s="14" t="s">
        <v>31</v>
      </c>
      <c r="K2" s="14" t="s">
        <v>32</v>
      </c>
      <c r="L2" s="14"/>
      <c r="M2" s="14"/>
      <c r="N2" s="14" t="s">
        <v>42</v>
      </c>
      <c r="O2" s="14"/>
      <c r="P2" s="14"/>
      <c r="Q2" s="14" t="s">
        <v>34</v>
      </c>
      <c r="R2" s="14" t="s">
        <v>35</v>
      </c>
      <c r="S2" s="14"/>
      <c r="T2" s="14" t="s">
        <v>36</v>
      </c>
      <c r="U2" s="14">
        <v>0.5</v>
      </c>
      <c r="V2" s="14" t="s">
        <v>37</v>
      </c>
      <c r="W2" s="14" t="s">
        <v>298</v>
      </c>
      <c r="X2" s="14" t="s">
        <v>299</v>
      </c>
      <c r="Y2" s="14" t="s">
        <v>39</v>
      </c>
      <c r="Z2" s="14">
        <v>1.028</v>
      </c>
      <c r="AA2" s="14">
        <v>1.021</v>
      </c>
      <c r="AB2" s="14">
        <v>1.036</v>
      </c>
    </row>
    <row r="3" spans="1:28">
      <c r="A3" s="14">
        <v>24</v>
      </c>
      <c r="B3" s="14">
        <v>2</v>
      </c>
      <c r="C3" s="14"/>
      <c r="D3" s="14">
        <v>2010</v>
      </c>
      <c r="E3" s="14"/>
      <c r="F3" s="14" t="s">
        <v>28</v>
      </c>
      <c r="G3" s="14" t="s">
        <v>40</v>
      </c>
      <c r="H3" s="14" t="s">
        <v>41</v>
      </c>
      <c r="I3" s="14" t="s">
        <v>30</v>
      </c>
      <c r="J3" s="14" t="s">
        <v>31</v>
      </c>
      <c r="K3" s="14" t="s">
        <v>32</v>
      </c>
      <c r="L3" s="14"/>
      <c r="M3" s="14"/>
      <c r="N3" s="14" t="s">
        <v>42</v>
      </c>
      <c r="O3" s="14"/>
      <c r="P3" s="14"/>
      <c r="Q3" s="14" t="s">
        <v>34</v>
      </c>
      <c r="R3" s="14" t="s">
        <v>35</v>
      </c>
      <c r="S3" s="14"/>
      <c r="T3" s="14" t="s">
        <v>36</v>
      </c>
      <c r="U3" s="14">
        <v>0.5</v>
      </c>
      <c r="V3" s="14" t="s">
        <v>37</v>
      </c>
      <c r="W3" s="14" t="s">
        <v>298</v>
      </c>
      <c r="X3" s="14" t="s">
        <v>299</v>
      </c>
      <c r="Y3" s="14" t="s">
        <v>39</v>
      </c>
      <c r="Z3" s="14">
        <v>1.022</v>
      </c>
      <c r="AA3" s="14">
        <v>1.013</v>
      </c>
      <c r="AB3" s="14">
        <v>1.03</v>
      </c>
    </row>
    <row r="4" spans="1:28">
      <c r="A4" s="14">
        <v>42</v>
      </c>
      <c r="B4" s="14">
        <v>1</v>
      </c>
      <c r="C4" s="14"/>
      <c r="D4" s="14">
        <v>2008</v>
      </c>
      <c r="E4" s="14"/>
      <c r="F4" s="14" t="s">
        <v>45</v>
      </c>
      <c r="G4" s="14" t="s">
        <v>31</v>
      </c>
      <c r="H4" s="14" t="s">
        <v>69</v>
      </c>
      <c r="I4" s="14" t="s">
        <v>30</v>
      </c>
      <c r="J4" s="14" t="s">
        <v>31</v>
      </c>
      <c r="K4" s="14" t="s">
        <v>32</v>
      </c>
      <c r="L4" s="14"/>
      <c r="M4" s="14"/>
      <c r="N4" s="14" t="s">
        <v>42</v>
      </c>
      <c r="O4" s="14"/>
      <c r="P4" s="14"/>
      <c r="Q4" s="14" t="s">
        <v>72</v>
      </c>
      <c r="R4" s="14" t="s">
        <v>35</v>
      </c>
      <c r="S4" s="14"/>
      <c r="T4" s="14" t="s">
        <v>73</v>
      </c>
      <c r="U4" s="14">
        <v>1.5</v>
      </c>
      <c r="V4" s="14" t="s">
        <v>37</v>
      </c>
      <c r="W4" s="14" t="s">
        <v>300</v>
      </c>
      <c r="X4" s="14" t="s">
        <v>299</v>
      </c>
      <c r="Y4" s="14" t="s">
        <v>39</v>
      </c>
      <c r="Z4" s="14">
        <v>1.0192</v>
      </c>
      <c r="AA4" s="14">
        <v>0.9851</v>
      </c>
      <c r="AB4" s="14">
        <v>1.0535</v>
      </c>
    </row>
    <row r="5" spans="1:28">
      <c r="A5" s="14">
        <v>42</v>
      </c>
      <c r="B5" s="14">
        <v>2</v>
      </c>
      <c r="C5" s="14"/>
      <c r="D5" s="14">
        <v>2008</v>
      </c>
      <c r="E5" s="14"/>
      <c r="F5" s="14" t="s">
        <v>54</v>
      </c>
      <c r="G5" s="14" t="s">
        <v>31</v>
      </c>
      <c r="H5" s="14" t="s">
        <v>69</v>
      </c>
      <c r="I5" s="14" t="s">
        <v>30</v>
      </c>
      <c r="J5" s="14" t="s">
        <v>31</v>
      </c>
      <c r="K5" s="14" t="s">
        <v>32</v>
      </c>
      <c r="L5" s="14"/>
      <c r="M5" s="14"/>
      <c r="N5" s="14" t="s">
        <v>42</v>
      </c>
      <c r="O5" s="14"/>
      <c r="P5" s="14"/>
      <c r="Q5" s="14" t="s">
        <v>72</v>
      </c>
      <c r="R5" s="14" t="s">
        <v>35</v>
      </c>
      <c r="S5" s="14"/>
      <c r="T5" s="14" t="s">
        <v>73</v>
      </c>
      <c r="U5" s="14">
        <v>1.5</v>
      </c>
      <c r="V5" s="14" t="s">
        <v>37</v>
      </c>
      <c r="W5" s="14" t="s">
        <v>301</v>
      </c>
      <c r="X5" s="14" t="s">
        <v>299</v>
      </c>
      <c r="Y5" s="14" t="s">
        <v>39</v>
      </c>
      <c r="Z5" s="14">
        <v>1.0466</v>
      </c>
      <c r="AA5" s="14">
        <v>1.0113</v>
      </c>
      <c r="AB5" s="14">
        <v>1.0818</v>
      </c>
    </row>
    <row r="6" spans="1:28">
      <c r="A6" s="14">
        <v>42</v>
      </c>
      <c r="B6" s="14">
        <v>3</v>
      </c>
      <c r="C6" s="14"/>
      <c r="D6" s="14">
        <v>2008</v>
      </c>
      <c r="E6" s="14"/>
      <c r="F6" s="14" t="s">
        <v>45</v>
      </c>
      <c r="G6" s="14" t="s">
        <v>75</v>
      </c>
      <c r="H6" s="14" t="s">
        <v>76</v>
      </c>
      <c r="I6" s="14" t="s">
        <v>30</v>
      </c>
      <c r="J6" s="14" t="s">
        <v>77</v>
      </c>
      <c r="K6" s="14" t="s">
        <v>32</v>
      </c>
      <c r="L6" s="14"/>
      <c r="M6" s="14"/>
      <c r="N6" s="14" t="s">
        <v>42</v>
      </c>
      <c r="O6" s="14"/>
      <c r="P6" s="14"/>
      <c r="Q6" s="14" t="s">
        <v>72</v>
      </c>
      <c r="R6" s="14" t="s">
        <v>35</v>
      </c>
      <c r="S6" s="14"/>
      <c r="T6" s="14" t="s">
        <v>73</v>
      </c>
      <c r="U6" s="14">
        <v>1.5</v>
      </c>
      <c r="V6" s="14" t="s">
        <v>37</v>
      </c>
      <c r="W6" s="14" t="s">
        <v>300</v>
      </c>
      <c r="X6" s="14" t="s">
        <v>299</v>
      </c>
      <c r="Y6" s="14" t="s">
        <v>39</v>
      </c>
      <c r="Z6" s="14">
        <v>1.015</v>
      </c>
      <c r="AA6" s="14">
        <v>0.9888</v>
      </c>
      <c r="AB6" s="14">
        <v>1.0462</v>
      </c>
    </row>
    <row r="7" spans="1:28">
      <c r="A7" s="14">
        <v>42</v>
      </c>
      <c r="B7" s="14">
        <v>4</v>
      </c>
      <c r="C7" s="14"/>
      <c r="D7" s="14">
        <v>2008</v>
      </c>
      <c r="E7" s="14"/>
      <c r="F7" s="14" t="s">
        <v>54</v>
      </c>
      <c r="G7" s="14" t="s">
        <v>75</v>
      </c>
      <c r="H7" s="14" t="s">
        <v>76</v>
      </c>
      <c r="I7" s="14" t="s">
        <v>30</v>
      </c>
      <c r="J7" s="14" t="s">
        <v>77</v>
      </c>
      <c r="K7" s="14" t="s">
        <v>32</v>
      </c>
      <c r="L7" s="14"/>
      <c r="M7" s="14"/>
      <c r="N7" s="14" t="s">
        <v>42</v>
      </c>
      <c r="O7" s="14"/>
      <c r="P7" s="14"/>
      <c r="Q7" s="14" t="s">
        <v>72</v>
      </c>
      <c r="R7" s="14" t="s">
        <v>35</v>
      </c>
      <c r="S7" s="14"/>
      <c r="T7" s="14" t="s">
        <v>73</v>
      </c>
      <c r="U7" s="14">
        <v>1.5</v>
      </c>
      <c r="V7" s="14" t="s">
        <v>37</v>
      </c>
      <c r="W7" s="14" t="s">
        <v>300</v>
      </c>
      <c r="X7" s="14" t="s">
        <v>299</v>
      </c>
      <c r="Y7" s="14" t="s">
        <v>39</v>
      </c>
      <c r="Z7" s="14">
        <v>1.0255</v>
      </c>
      <c r="AA7" s="14">
        <v>0.9976</v>
      </c>
      <c r="AB7" s="14">
        <v>1.0551</v>
      </c>
    </row>
    <row r="8" spans="1:28">
      <c r="A8" s="14">
        <v>289</v>
      </c>
      <c r="B8" s="14">
        <v>3</v>
      </c>
      <c r="C8" s="14"/>
      <c r="D8" s="14">
        <v>2012</v>
      </c>
      <c r="E8" s="14"/>
      <c r="F8" s="14" t="s">
        <v>45</v>
      </c>
      <c r="G8" s="14" t="s">
        <v>115</v>
      </c>
      <c r="H8" s="14" t="s">
        <v>47</v>
      </c>
      <c r="I8" s="14" t="s">
        <v>30</v>
      </c>
      <c r="J8" s="14" t="s">
        <v>48</v>
      </c>
      <c r="K8" s="14" t="s">
        <v>32</v>
      </c>
      <c r="L8" s="14"/>
      <c r="M8" s="14"/>
      <c r="N8" s="14" t="s">
        <v>42</v>
      </c>
      <c r="O8" s="14"/>
      <c r="P8" s="14" t="s">
        <v>116</v>
      </c>
      <c r="Q8" s="14" t="s">
        <v>117</v>
      </c>
      <c r="R8" s="14" t="s">
        <v>35</v>
      </c>
      <c r="S8" s="14"/>
      <c r="T8" s="14" t="s">
        <v>36</v>
      </c>
      <c r="U8" s="14">
        <v>0.5</v>
      </c>
      <c r="V8" s="14" t="s">
        <v>37</v>
      </c>
      <c r="W8" s="14" t="s">
        <v>302</v>
      </c>
      <c r="X8" s="14" t="s">
        <v>299</v>
      </c>
      <c r="Y8" s="14" t="s">
        <v>39</v>
      </c>
      <c r="Z8" s="14">
        <v>1.025</v>
      </c>
      <c r="AA8" s="14">
        <v>1.013</v>
      </c>
      <c r="AB8" s="14">
        <v>1.037</v>
      </c>
    </row>
    <row r="9" spans="1:28">
      <c r="A9" s="14">
        <v>289</v>
      </c>
      <c r="B9" s="14">
        <v>4</v>
      </c>
      <c r="C9" s="14"/>
      <c r="D9" s="14">
        <v>2012</v>
      </c>
      <c r="E9" s="14"/>
      <c r="F9" s="14" t="s">
        <v>54</v>
      </c>
      <c r="G9" s="14" t="s">
        <v>115</v>
      </c>
      <c r="H9" s="14" t="s">
        <v>47</v>
      </c>
      <c r="I9" s="14" t="s">
        <v>30</v>
      </c>
      <c r="J9" s="14" t="s">
        <v>48</v>
      </c>
      <c r="K9" s="14" t="s">
        <v>32</v>
      </c>
      <c r="L9" s="14"/>
      <c r="M9" s="14"/>
      <c r="N9" s="14" t="s">
        <v>42</v>
      </c>
      <c r="O9" s="14"/>
      <c r="P9" s="14" t="s">
        <v>116</v>
      </c>
      <c r="Q9" s="14" t="s">
        <v>117</v>
      </c>
      <c r="R9" s="14" t="s">
        <v>35</v>
      </c>
      <c r="S9" s="14"/>
      <c r="T9" s="14" t="s">
        <v>36</v>
      </c>
      <c r="U9" s="14">
        <v>0.5</v>
      </c>
      <c r="V9" s="14" t="s">
        <v>37</v>
      </c>
      <c r="W9" s="14" t="s">
        <v>302</v>
      </c>
      <c r="X9" s="14" t="s">
        <v>299</v>
      </c>
      <c r="Y9" s="14" t="s">
        <v>39</v>
      </c>
      <c r="Z9" s="14">
        <v>1.036</v>
      </c>
      <c r="AA9" s="14">
        <v>1.026</v>
      </c>
      <c r="AB9" s="14">
        <v>1.047</v>
      </c>
    </row>
    <row r="10" spans="1:28">
      <c r="A10" s="14">
        <v>289</v>
      </c>
      <c r="B10" s="14">
        <v>5</v>
      </c>
      <c r="C10" s="14"/>
      <c r="D10" s="14">
        <v>2012</v>
      </c>
      <c r="E10" s="14"/>
      <c r="F10" s="14" t="s">
        <v>45</v>
      </c>
      <c r="G10" s="14" t="s">
        <v>115</v>
      </c>
      <c r="H10" s="14" t="s">
        <v>47</v>
      </c>
      <c r="I10" s="14" t="s">
        <v>30</v>
      </c>
      <c r="J10" s="14" t="s">
        <v>48</v>
      </c>
      <c r="K10" s="14" t="s">
        <v>32</v>
      </c>
      <c r="L10" s="14"/>
      <c r="M10" s="14"/>
      <c r="N10" s="14" t="s">
        <v>42</v>
      </c>
      <c r="O10" s="14"/>
      <c r="P10" s="14" t="s">
        <v>116</v>
      </c>
      <c r="Q10" s="14" t="s">
        <v>117</v>
      </c>
      <c r="R10" s="14" t="s">
        <v>35</v>
      </c>
      <c r="S10" s="14"/>
      <c r="T10" s="14" t="s">
        <v>36</v>
      </c>
      <c r="U10" s="14">
        <v>0.5</v>
      </c>
      <c r="V10" s="14" t="s">
        <v>37</v>
      </c>
      <c r="W10" s="14" t="s">
        <v>303</v>
      </c>
      <c r="X10" s="14" t="s">
        <v>299</v>
      </c>
      <c r="Y10" s="14" t="s">
        <v>39</v>
      </c>
      <c r="Z10" s="14">
        <v>1.014</v>
      </c>
      <c r="AA10" s="14">
        <v>1.008</v>
      </c>
      <c r="AB10" s="14">
        <v>1.021</v>
      </c>
    </row>
    <row r="11" spans="1:28">
      <c r="A11" s="14">
        <v>289</v>
      </c>
      <c r="B11" s="14">
        <v>6</v>
      </c>
      <c r="C11" s="14"/>
      <c r="D11" s="14">
        <v>2012</v>
      </c>
      <c r="E11" s="14"/>
      <c r="F11" s="14" t="s">
        <v>54</v>
      </c>
      <c r="G11" s="14" t="s">
        <v>115</v>
      </c>
      <c r="H11" s="14" t="s">
        <v>47</v>
      </c>
      <c r="I11" s="14" t="s">
        <v>30</v>
      </c>
      <c r="J11" s="14" t="s">
        <v>48</v>
      </c>
      <c r="K11" s="14" t="s">
        <v>32</v>
      </c>
      <c r="L11" s="14"/>
      <c r="M11" s="14"/>
      <c r="N11" s="14" t="s">
        <v>42</v>
      </c>
      <c r="O11" s="14"/>
      <c r="P11" s="14" t="s">
        <v>116</v>
      </c>
      <c r="Q11" s="14" t="s">
        <v>117</v>
      </c>
      <c r="R11" s="14" t="s">
        <v>35</v>
      </c>
      <c r="S11" s="14"/>
      <c r="T11" s="14" t="s">
        <v>36</v>
      </c>
      <c r="U11" s="14">
        <v>0.5</v>
      </c>
      <c r="V11" s="14" t="s">
        <v>37</v>
      </c>
      <c r="W11" s="14" t="s">
        <v>303</v>
      </c>
      <c r="X11" s="14" t="s">
        <v>299</v>
      </c>
      <c r="Y11" s="14" t="s">
        <v>39</v>
      </c>
      <c r="Z11" s="14">
        <v>1.026</v>
      </c>
      <c r="AA11" s="14">
        <v>1.017</v>
      </c>
      <c r="AB11" s="14">
        <v>1.035</v>
      </c>
    </row>
    <row r="12" spans="1:28">
      <c r="A12" s="14">
        <v>289</v>
      </c>
      <c r="B12" s="14">
        <v>7</v>
      </c>
      <c r="C12" s="14"/>
      <c r="D12" s="14">
        <v>2012</v>
      </c>
      <c r="E12" s="14"/>
      <c r="F12" s="14" t="s">
        <v>45</v>
      </c>
      <c r="G12" s="14" t="s">
        <v>115</v>
      </c>
      <c r="H12" s="14" t="s">
        <v>47</v>
      </c>
      <c r="I12" s="14" t="s">
        <v>30</v>
      </c>
      <c r="J12" s="14" t="s">
        <v>48</v>
      </c>
      <c r="K12" s="14" t="s">
        <v>32</v>
      </c>
      <c r="L12" s="14"/>
      <c r="M12" s="14"/>
      <c r="N12" s="14" t="s">
        <v>42</v>
      </c>
      <c r="O12" s="14"/>
      <c r="P12" s="14" t="s">
        <v>116</v>
      </c>
      <c r="Q12" s="14" t="s">
        <v>117</v>
      </c>
      <c r="R12" s="14" t="s">
        <v>35</v>
      </c>
      <c r="S12" s="14"/>
      <c r="T12" s="14" t="s">
        <v>36</v>
      </c>
      <c r="U12" s="14">
        <v>0.5</v>
      </c>
      <c r="V12" s="14" t="s">
        <v>37</v>
      </c>
      <c r="W12" s="14" t="s">
        <v>304</v>
      </c>
      <c r="X12" s="14" t="s">
        <v>299</v>
      </c>
      <c r="Y12" s="14" t="s">
        <v>39</v>
      </c>
      <c r="Z12" s="14">
        <v>1.008</v>
      </c>
      <c r="AA12" s="14">
        <v>1.002</v>
      </c>
      <c r="AB12" s="14">
        <v>1.015</v>
      </c>
    </row>
    <row r="13" spans="1:28">
      <c r="A13" s="14">
        <v>289</v>
      </c>
      <c r="B13" s="14">
        <v>8</v>
      </c>
      <c r="C13" s="14"/>
      <c r="D13" s="14">
        <v>2012</v>
      </c>
      <c r="E13" s="14"/>
      <c r="F13" s="14" t="s">
        <v>54</v>
      </c>
      <c r="G13" s="14" t="s">
        <v>115</v>
      </c>
      <c r="H13" s="14" t="s">
        <v>47</v>
      </c>
      <c r="I13" s="14" t="s">
        <v>30</v>
      </c>
      <c r="J13" s="14" t="s">
        <v>48</v>
      </c>
      <c r="K13" s="14" t="s">
        <v>32</v>
      </c>
      <c r="L13" s="14"/>
      <c r="M13" s="14"/>
      <c r="N13" s="14" t="s">
        <v>42</v>
      </c>
      <c r="O13" s="14"/>
      <c r="P13" s="14" t="s">
        <v>116</v>
      </c>
      <c r="Q13" s="14" t="s">
        <v>117</v>
      </c>
      <c r="R13" s="14" t="s">
        <v>35</v>
      </c>
      <c r="S13" s="14"/>
      <c r="T13" s="14" t="s">
        <v>36</v>
      </c>
      <c r="U13" s="14">
        <v>0.5</v>
      </c>
      <c r="V13" s="14" t="s">
        <v>37</v>
      </c>
      <c r="W13" s="14" t="s">
        <v>304</v>
      </c>
      <c r="X13" s="14" t="s">
        <v>299</v>
      </c>
      <c r="Y13" s="14" t="s">
        <v>39</v>
      </c>
      <c r="Z13" s="14">
        <v>1.018</v>
      </c>
      <c r="AA13" s="14">
        <v>1.008</v>
      </c>
      <c r="AB13" s="14">
        <v>1.029</v>
      </c>
    </row>
    <row r="14" spans="1:28">
      <c r="A14" s="14">
        <v>289</v>
      </c>
      <c r="B14" s="14">
        <v>9</v>
      </c>
      <c r="C14" s="14"/>
      <c r="D14" s="14">
        <v>2012</v>
      </c>
      <c r="E14" s="14"/>
      <c r="F14" s="14" t="s">
        <v>45</v>
      </c>
      <c r="G14" s="14" t="s">
        <v>115</v>
      </c>
      <c r="H14" s="14" t="s">
        <v>47</v>
      </c>
      <c r="I14" s="14" t="s">
        <v>30</v>
      </c>
      <c r="J14" s="14" t="s">
        <v>48</v>
      </c>
      <c r="K14" s="14" t="s">
        <v>32</v>
      </c>
      <c r="L14" s="14"/>
      <c r="M14" s="14"/>
      <c r="N14" s="14" t="s">
        <v>42</v>
      </c>
      <c r="O14" s="14"/>
      <c r="P14" s="14" t="s">
        <v>116</v>
      </c>
      <c r="Q14" s="14" t="s">
        <v>117</v>
      </c>
      <c r="R14" s="14" t="s">
        <v>35</v>
      </c>
      <c r="S14" s="14"/>
      <c r="T14" s="14" t="s">
        <v>36</v>
      </c>
      <c r="U14" s="14">
        <v>0.5</v>
      </c>
      <c r="V14" s="14" t="s">
        <v>37</v>
      </c>
      <c r="W14" s="14" t="s">
        <v>305</v>
      </c>
      <c r="X14" s="14" t="s">
        <v>299</v>
      </c>
      <c r="Y14" s="14" t="s">
        <v>39</v>
      </c>
      <c r="Z14" s="14">
        <v>1.02</v>
      </c>
      <c r="AA14" s="14">
        <v>1.011</v>
      </c>
      <c r="AB14" s="14">
        <v>1.029</v>
      </c>
    </row>
    <row r="15" spans="1:28">
      <c r="A15" s="14">
        <v>289</v>
      </c>
      <c r="B15" s="14">
        <v>10</v>
      </c>
      <c r="C15" s="14"/>
      <c r="D15" s="14">
        <v>2012</v>
      </c>
      <c r="E15" s="14"/>
      <c r="F15" s="14" t="s">
        <v>54</v>
      </c>
      <c r="G15" s="14" t="s">
        <v>115</v>
      </c>
      <c r="H15" s="14" t="s">
        <v>47</v>
      </c>
      <c r="I15" s="14" t="s">
        <v>30</v>
      </c>
      <c r="J15" s="14" t="s">
        <v>48</v>
      </c>
      <c r="K15" s="14" t="s">
        <v>32</v>
      </c>
      <c r="L15" s="14"/>
      <c r="M15" s="14"/>
      <c r="N15" s="14" t="s">
        <v>42</v>
      </c>
      <c r="O15" s="14"/>
      <c r="P15" s="14" t="s">
        <v>116</v>
      </c>
      <c r="Q15" s="14" t="s">
        <v>117</v>
      </c>
      <c r="R15" s="14" t="s">
        <v>35</v>
      </c>
      <c r="S15" s="14"/>
      <c r="T15" s="14" t="s">
        <v>36</v>
      </c>
      <c r="U15" s="14">
        <v>0.5</v>
      </c>
      <c r="V15" s="14" t="s">
        <v>37</v>
      </c>
      <c r="W15" s="14" t="s">
        <v>305</v>
      </c>
      <c r="X15" s="14" t="s">
        <v>299</v>
      </c>
      <c r="Y15" s="14" t="s">
        <v>39</v>
      </c>
      <c r="Z15" s="14">
        <v>1.033</v>
      </c>
      <c r="AA15" s="14">
        <v>1.024</v>
      </c>
      <c r="AB15" s="14">
        <v>1.042</v>
      </c>
    </row>
    <row r="16" spans="1:28">
      <c r="A16" s="14">
        <v>289</v>
      </c>
      <c r="B16" s="14">
        <v>11</v>
      </c>
      <c r="C16" s="14"/>
      <c r="D16" s="14">
        <v>2012</v>
      </c>
      <c r="E16" s="14"/>
      <c r="F16" s="14" t="s">
        <v>45</v>
      </c>
      <c r="G16" s="14" t="s">
        <v>115</v>
      </c>
      <c r="H16" s="14" t="s">
        <v>47</v>
      </c>
      <c r="I16" s="14" t="s">
        <v>30</v>
      </c>
      <c r="J16" s="14" t="s">
        <v>48</v>
      </c>
      <c r="K16" s="14" t="s">
        <v>32</v>
      </c>
      <c r="L16" s="14"/>
      <c r="M16" s="14"/>
      <c r="N16" s="14" t="s">
        <v>42</v>
      </c>
      <c r="O16" s="14"/>
      <c r="P16" s="14" t="s">
        <v>116</v>
      </c>
      <c r="Q16" s="14" t="s">
        <v>117</v>
      </c>
      <c r="R16" s="14" t="s">
        <v>35</v>
      </c>
      <c r="S16" s="14"/>
      <c r="T16" s="14" t="s">
        <v>36</v>
      </c>
      <c r="U16" s="14">
        <v>0.5</v>
      </c>
      <c r="V16" s="14" t="s">
        <v>37</v>
      </c>
      <c r="W16" s="14" t="s">
        <v>306</v>
      </c>
      <c r="X16" s="14" t="s">
        <v>299</v>
      </c>
      <c r="Y16" s="14" t="s">
        <v>39</v>
      </c>
      <c r="Z16" s="14">
        <v>1.031</v>
      </c>
      <c r="AA16" s="14">
        <v>1.001</v>
      </c>
      <c r="AB16" s="14">
        <v>1.061</v>
      </c>
    </row>
    <row r="17" spans="1:28">
      <c r="A17" s="14">
        <v>289</v>
      </c>
      <c r="B17" s="14">
        <v>12</v>
      </c>
      <c r="C17" s="14"/>
      <c r="D17" s="14">
        <v>2012</v>
      </c>
      <c r="E17" s="14"/>
      <c r="F17" s="14" t="s">
        <v>54</v>
      </c>
      <c r="G17" s="14" t="s">
        <v>115</v>
      </c>
      <c r="H17" s="14" t="s">
        <v>47</v>
      </c>
      <c r="I17" s="14" t="s">
        <v>30</v>
      </c>
      <c r="J17" s="14" t="s">
        <v>48</v>
      </c>
      <c r="K17" s="14" t="s">
        <v>32</v>
      </c>
      <c r="L17" s="14"/>
      <c r="M17" s="14"/>
      <c r="N17" s="14" t="s">
        <v>42</v>
      </c>
      <c r="O17" s="14"/>
      <c r="P17" s="14" t="s">
        <v>116</v>
      </c>
      <c r="Q17" s="14" t="s">
        <v>117</v>
      </c>
      <c r="R17" s="14" t="s">
        <v>35</v>
      </c>
      <c r="S17" s="14"/>
      <c r="T17" s="14" t="s">
        <v>36</v>
      </c>
      <c r="U17" s="14">
        <v>0.5</v>
      </c>
      <c r="V17" s="14" t="s">
        <v>37</v>
      </c>
      <c r="W17" s="14" t="s">
        <v>306</v>
      </c>
      <c r="X17" s="14" t="s">
        <v>299</v>
      </c>
      <c r="Y17" s="14" t="s">
        <v>39</v>
      </c>
      <c r="Z17" s="14">
        <v>1.051</v>
      </c>
      <c r="AA17" s="14">
        <v>1.026</v>
      </c>
      <c r="AB17" s="14">
        <v>1.075</v>
      </c>
    </row>
    <row r="18" spans="1:28">
      <c r="A18" s="14">
        <v>289</v>
      </c>
      <c r="B18" s="14">
        <v>13</v>
      </c>
      <c r="C18" s="14"/>
      <c r="D18" s="14">
        <v>2012</v>
      </c>
      <c r="E18" s="14"/>
      <c r="F18" s="14" t="s">
        <v>54</v>
      </c>
      <c r="G18" s="14" t="s">
        <v>115</v>
      </c>
      <c r="H18" s="14" t="s">
        <v>47</v>
      </c>
      <c r="I18" s="14" t="s">
        <v>30</v>
      </c>
      <c r="J18" s="14" t="s">
        <v>48</v>
      </c>
      <c r="K18" s="14" t="s">
        <v>32</v>
      </c>
      <c r="L18" s="14"/>
      <c r="M18" s="14"/>
      <c r="N18" s="14" t="s">
        <v>42</v>
      </c>
      <c r="O18" s="14"/>
      <c r="P18" s="14" t="s">
        <v>116</v>
      </c>
      <c r="Q18" s="14" t="s">
        <v>117</v>
      </c>
      <c r="R18" s="14" t="s">
        <v>35</v>
      </c>
      <c r="S18" s="14"/>
      <c r="T18" s="14" t="s">
        <v>36</v>
      </c>
      <c r="U18" s="14">
        <v>0.5</v>
      </c>
      <c r="V18" s="14" t="s">
        <v>37</v>
      </c>
      <c r="W18" s="14" t="s">
        <v>307</v>
      </c>
      <c r="X18" s="14" t="s">
        <v>299</v>
      </c>
      <c r="Y18" s="14" t="s">
        <v>39</v>
      </c>
      <c r="Z18" s="14">
        <v>1.089</v>
      </c>
      <c r="AA18" s="14">
        <v>0.983</v>
      </c>
      <c r="AB18" s="14">
        <v>1.206</v>
      </c>
    </row>
    <row r="19" spans="1:28">
      <c r="A19" s="14">
        <v>289</v>
      </c>
      <c r="B19" s="14">
        <v>14</v>
      </c>
      <c r="C19" s="14"/>
      <c r="D19" s="14">
        <v>2012</v>
      </c>
      <c r="E19" s="14"/>
      <c r="F19" s="14" t="s">
        <v>45</v>
      </c>
      <c r="G19" s="14" t="s">
        <v>115</v>
      </c>
      <c r="H19" s="14" t="s">
        <v>47</v>
      </c>
      <c r="I19" s="14" t="s">
        <v>30</v>
      </c>
      <c r="J19" s="14" t="s">
        <v>48</v>
      </c>
      <c r="K19" s="14" t="s">
        <v>32</v>
      </c>
      <c r="L19" s="14"/>
      <c r="M19" s="14"/>
      <c r="N19" s="14" t="s">
        <v>42</v>
      </c>
      <c r="O19" s="14"/>
      <c r="P19" s="14" t="s">
        <v>116</v>
      </c>
      <c r="Q19" s="14" t="s">
        <v>117</v>
      </c>
      <c r="R19" s="14" t="s">
        <v>35</v>
      </c>
      <c r="S19" s="14"/>
      <c r="T19" s="14" t="s">
        <v>36</v>
      </c>
      <c r="U19" s="14">
        <v>0.5</v>
      </c>
      <c r="V19" s="14" t="s">
        <v>37</v>
      </c>
      <c r="W19" s="14" t="s">
        <v>308</v>
      </c>
      <c r="X19" s="14" t="s">
        <v>299</v>
      </c>
      <c r="Y19" s="14" t="s">
        <v>39</v>
      </c>
      <c r="Z19" s="14">
        <v>1.046</v>
      </c>
      <c r="AA19" s="14">
        <v>1.012</v>
      </c>
      <c r="AB19" s="14">
        <v>1.08</v>
      </c>
    </row>
    <row r="20" spans="1:28">
      <c r="A20" s="14">
        <v>289</v>
      </c>
      <c r="B20" s="14">
        <v>15</v>
      </c>
      <c r="C20" s="14"/>
      <c r="D20" s="14">
        <v>2012</v>
      </c>
      <c r="E20" s="14"/>
      <c r="F20" s="14" t="s">
        <v>54</v>
      </c>
      <c r="G20" s="14" t="s">
        <v>115</v>
      </c>
      <c r="H20" s="14" t="s">
        <v>47</v>
      </c>
      <c r="I20" s="14" t="s">
        <v>30</v>
      </c>
      <c r="J20" s="14" t="s">
        <v>48</v>
      </c>
      <c r="K20" s="14" t="s">
        <v>32</v>
      </c>
      <c r="L20" s="14"/>
      <c r="M20" s="14"/>
      <c r="N20" s="14" t="s">
        <v>42</v>
      </c>
      <c r="O20" s="14"/>
      <c r="P20" s="14" t="s">
        <v>116</v>
      </c>
      <c r="Q20" s="14" t="s">
        <v>117</v>
      </c>
      <c r="R20" s="14" t="s">
        <v>35</v>
      </c>
      <c r="S20" s="14"/>
      <c r="T20" s="14" t="s">
        <v>36</v>
      </c>
      <c r="U20" s="14">
        <v>0.5</v>
      </c>
      <c r="V20" s="14" t="s">
        <v>37</v>
      </c>
      <c r="W20" s="14" t="s">
        <v>308</v>
      </c>
      <c r="X20" s="14" t="s">
        <v>299</v>
      </c>
      <c r="Y20" s="14" t="s">
        <v>39</v>
      </c>
      <c r="Z20" s="14">
        <v>1.041</v>
      </c>
      <c r="AA20" s="14">
        <v>1.01</v>
      </c>
      <c r="AB20" s="14">
        <v>1.074</v>
      </c>
    </row>
    <row r="21" spans="1:28">
      <c r="A21" s="14">
        <v>289</v>
      </c>
      <c r="B21" s="14">
        <v>16</v>
      </c>
      <c r="C21" s="14"/>
      <c r="D21" s="14">
        <v>2012</v>
      </c>
      <c r="E21" s="14"/>
      <c r="F21" s="14" t="s">
        <v>45</v>
      </c>
      <c r="G21" s="14" t="s">
        <v>115</v>
      </c>
      <c r="H21" s="14" t="s">
        <v>47</v>
      </c>
      <c r="I21" s="14" t="s">
        <v>30</v>
      </c>
      <c r="J21" s="14" t="s">
        <v>48</v>
      </c>
      <c r="K21" s="14" t="s">
        <v>32</v>
      </c>
      <c r="L21" s="14"/>
      <c r="M21" s="14"/>
      <c r="N21" s="14" t="s">
        <v>42</v>
      </c>
      <c r="O21" s="14"/>
      <c r="P21" s="14" t="s">
        <v>116</v>
      </c>
      <c r="Q21" s="14" t="s">
        <v>117</v>
      </c>
      <c r="R21" s="14" t="s">
        <v>35</v>
      </c>
      <c r="S21" s="14"/>
      <c r="T21" s="14" t="s">
        <v>36</v>
      </c>
      <c r="U21" s="14">
        <v>0.5</v>
      </c>
      <c r="V21" s="14" t="s">
        <v>37</v>
      </c>
      <c r="W21" s="14" t="s">
        <v>309</v>
      </c>
      <c r="X21" s="14" t="s">
        <v>299</v>
      </c>
      <c r="Y21" s="14" t="s">
        <v>39</v>
      </c>
      <c r="Z21" s="14">
        <v>1.01</v>
      </c>
      <c r="AA21" s="14">
        <v>0.98</v>
      </c>
      <c r="AB21" s="14">
        <v>1.041</v>
      </c>
    </row>
    <row r="22" spans="1:28">
      <c r="A22" s="14">
        <v>289</v>
      </c>
      <c r="B22" s="14">
        <v>17</v>
      </c>
      <c r="C22" s="14"/>
      <c r="D22" s="14">
        <v>2012</v>
      </c>
      <c r="E22" s="14"/>
      <c r="F22" s="14" t="s">
        <v>54</v>
      </c>
      <c r="G22" s="14" t="s">
        <v>115</v>
      </c>
      <c r="H22" s="14" t="s">
        <v>47</v>
      </c>
      <c r="I22" s="14" t="s">
        <v>30</v>
      </c>
      <c r="J22" s="14" t="s">
        <v>48</v>
      </c>
      <c r="K22" s="14" t="s">
        <v>32</v>
      </c>
      <c r="L22" s="14"/>
      <c r="M22" s="14"/>
      <c r="N22" s="14" t="s">
        <v>42</v>
      </c>
      <c r="O22" s="14"/>
      <c r="P22" s="14" t="s">
        <v>116</v>
      </c>
      <c r="Q22" s="14" t="s">
        <v>117</v>
      </c>
      <c r="R22" s="14" t="s">
        <v>35</v>
      </c>
      <c r="S22" s="14"/>
      <c r="T22" s="14" t="s">
        <v>36</v>
      </c>
      <c r="U22" s="14">
        <v>0.5</v>
      </c>
      <c r="V22" s="14" t="s">
        <v>37</v>
      </c>
      <c r="W22" s="14" t="s">
        <v>309</v>
      </c>
      <c r="X22" s="14" t="s">
        <v>299</v>
      </c>
      <c r="Y22" s="14" t="s">
        <v>39</v>
      </c>
      <c r="Z22" s="14">
        <v>1.026</v>
      </c>
      <c r="AA22" s="14">
        <v>1.001</v>
      </c>
      <c r="AB22" s="14">
        <v>1.052</v>
      </c>
    </row>
    <row r="23" spans="1:28">
      <c r="A23" s="14">
        <v>289</v>
      </c>
      <c r="B23" s="14">
        <v>18</v>
      </c>
      <c r="C23" s="14"/>
      <c r="D23" s="14">
        <v>2012</v>
      </c>
      <c r="E23" s="14"/>
      <c r="F23" s="14" t="s">
        <v>45</v>
      </c>
      <c r="G23" s="14" t="s">
        <v>115</v>
      </c>
      <c r="H23" s="14" t="s">
        <v>47</v>
      </c>
      <c r="I23" s="14" t="s">
        <v>30</v>
      </c>
      <c r="J23" s="14" t="s">
        <v>48</v>
      </c>
      <c r="K23" s="14" t="s">
        <v>32</v>
      </c>
      <c r="L23" s="14"/>
      <c r="M23" s="14"/>
      <c r="N23" s="14" t="s">
        <v>42</v>
      </c>
      <c r="O23" s="14"/>
      <c r="P23" s="14" t="s">
        <v>116</v>
      </c>
      <c r="Q23" s="14" t="s">
        <v>117</v>
      </c>
      <c r="R23" s="14" t="s">
        <v>35</v>
      </c>
      <c r="S23" s="14"/>
      <c r="T23" s="14" t="s">
        <v>36</v>
      </c>
      <c r="U23" s="14">
        <v>0.5</v>
      </c>
      <c r="V23" s="14" t="s">
        <v>37</v>
      </c>
      <c r="W23" s="14" t="s">
        <v>310</v>
      </c>
      <c r="X23" s="14" t="s">
        <v>299</v>
      </c>
      <c r="Y23" s="14" t="s">
        <v>39</v>
      </c>
      <c r="Z23" s="14">
        <v>1.032</v>
      </c>
      <c r="AA23" s="14">
        <v>1.012</v>
      </c>
      <c r="AB23" s="14">
        <v>1.053</v>
      </c>
    </row>
    <row r="24" spans="1:28">
      <c r="A24" s="14">
        <v>289</v>
      </c>
      <c r="B24" s="14">
        <v>19</v>
      </c>
      <c r="C24" s="14"/>
      <c r="D24" s="14">
        <v>2012</v>
      </c>
      <c r="E24" s="14"/>
      <c r="F24" s="14" t="s">
        <v>54</v>
      </c>
      <c r="G24" s="14" t="s">
        <v>115</v>
      </c>
      <c r="H24" s="14" t="s">
        <v>47</v>
      </c>
      <c r="I24" s="14" t="s">
        <v>30</v>
      </c>
      <c r="J24" s="14" t="s">
        <v>48</v>
      </c>
      <c r="K24" s="14" t="s">
        <v>32</v>
      </c>
      <c r="L24" s="14"/>
      <c r="M24" s="14"/>
      <c r="N24" s="14" t="s">
        <v>42</v>
      </c>
      <c r="O24" s="14"/>
      <c r="P24" s="14" t="s">
        <v>116</v>
      </c>
      <c r="Q24" s="14" t="s">
        <v>117</v>
      </c>
      <c r="R24" s="14" t="s">
        <v>35</v>
      </c>
      <c r="S24" s="14"/>
      <c r="T24" s="14" t="s">
        <v>36</v>
      </c>
      <c r="U24" s="14">
        <v>0.5</v>
      </c>
      <c r="V24" s="14" t="s">
        <v>37</v>
      </c>
      <c r="W24" s="14" t="s">
        <v>310</v>
      </c>
      <c r="X24" s="14" t="s">
        <v>299</v>
      </c>
      <c r="Y24" s="14" t="s">
        <v>39</v>
      </c>
      <c r="Z24" s="14">
        <v>1.044</v>
      </c>
      <c r="AA24" s="14">
        <v>1.032</v>
      </c>
      <c r="AB24" s="14">
        <v>1.057</v>
      </c>
    </row>
    <row r="25" spans="1:28">
      <c r="A25" s="14">
        <v>289</v>
      </c>
      <c r="B25" s="14">
        <v>20</v>
      </c>
      <c r="C25" s="14"/>
      <c r="D25" s="14">
        <v>2012</v>
      </c>
      <c r="E25" s="14"/>
      <c r="F25" s="14" t="s">
        <v>45</v>
      </c>
      <c r="G25" s="14" t="s">
        <v>115</v>
      </c>
      <c r="H25" s="14" t="s">
        <v>47</v>
      </c>
      <c r="I25" s="14" t="s">
        <v>30</v>
      </c>
      <c r="J25" s="14" t="s">
        <v>48</v>
      </c>
      <c r="K25" s="14" t="s">
        <v>32</v>
      </c>
      <c r="L25" s="14"/>
      <c r="M25" s="14"/>
      <c r="N25" s="14" t="s">
        <v>42</v>
      </c>
      <c r="O25" s="14"/>
      <c r="P25" s="14" t="s">
        <v>116</v>
      </c>
      <c r="Q25" s="14" t="s">
        <v>117</v>
      </c>
      <c r="R25" s="14" t="s">
        <v>35</v>
      </c>
      <c r="S25" s="14"/>
      <c r="T25" s="14" t="s">
        <v>36</v>
      </c>
      <c r="U25" s="14">
        <v>0.5</v>
      </c>
      <c r="V25" s="14" t="s">
        <v>37</v>
      </c>
      <c r="W25" s="14" t="s">
        <v>311</v>
      </c>
      <c r="X25" s="14" t="s">
        <v>299</v>
      </c>
      <c r="Y25" s="14" t="s">
        <v>39</v>
      </c>
      <c r="Z25" s="14">
        <v>1.161</v>
      </c>
      <c r="AA25" s="14">
        <v>1.068</v>
      </c>
      <c r="AB25" s="14">
        <v>1.262</v>
      </c>
    </row>
    <row r="26" spans="1:28">
      <c r="A26" s="14">
        <v>289</v>
      </c>
      <c r="B26" s="14">
        <v>21</v>
      </c>
      <c r="C26" s="14"/>
      <c r="D26" s="14">
        <v>2012</v>
      </c>
      <c r="E26" s="14"/>
      <c r="F26" s="14" t="s">
        <v>54</v>
      </c>
      <c r="G26" s="14" t="s">
        <v>115</v>
      </c>
      <c r="H26" s="14" t="s">
        <v>47</v>
      </c>
      <c r="I26" s="14" t="s">
        <v>30</v>
      </c>
      <c r="J26" s="14" t="s">
        <v>48</v>
      </c>
      <c r="K26" s="14" t="s">
        <v>32</v>
      </c>
      <c r="L26" s="14"/>
      <c r="M26" s="14"/>
      <c r="N26" s="14" t="s">
        <v>42</v>
      </c>
      <c r="O26" s="14"/>
      <c r="P26" s="14" t="s">
        <v>116</v>
      </c>
      <c r="Q26" s="14" t="s">
        <v>117</v>
      </c>
      <c r="R26" s="14" t="s">
        <v>35</v>
      </c>
      <c r="S26" s="14"/>
      <c r="T26" s="14" t="s">
        <v>36</v>
      </c>
      <c r="U26" s="14">
        <v>0.5</v>
      </c>
      <c r="V26" s="14" t="s">
        <v>37</v>
      </c>
      <c r="W26" s="14" t="s">
        <v>311</v>
      </c>
      <c r="X26" s="14" t="s">
        <v>299</v>
      </c>
      <c r="Y26" s="14" t="s">
        <v>39</v>
      </c>
      <c r="Z26" s="14">
        <v>1.082</v>
      </c>
      <c r="AA26" s="14">
        <v>0.9</v>
      </c>
      <c r="AB26" s="14">
        <v>1.301</v>
      </c>
    </row>
  </sheetData>
  <autoFilter xmlns:etc="http://www.wps.cn/officeDocument/2017/etCustomData" ref="A1:AB26" etc:filterBottomFollowUsedRange="0">
    <extLst/>
  </autoFilter>
  <pageMargins left="0.75" right="0.75" top="1" bottom="1" header="0.5" footer="0.5"/>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A14"/>
  <sheetViews>
    <sheetView workbookViewId="0">
      <pane xSplit="1" topLeftCell="R1" activePane="topRight" state="frozen"/>
      <selection/>
      <selection pane="topRight" activeCell="W14" sqref="W14"/>
    </sheetView>
  </sheetViews>
  <sheetFormatPr defaultColWidth="9.02654867256637" defaultRowHeight="13.85"/>
  <cols>
    <col min="1" max="183" width="9.02654867256637" style="2"/>
    <col min="184" max="16384" width="9.02654867256637" style="3"/>
  </cols>
  <sheetData>
    <row r="1" ht="13.9" spans="1:183">
      <c r="A1" s="2" t="s">
        <v>0</v>
      </c>
      <c r="B1" s="2" t="s">
        <v>1</v>
      </c>
      <c r="C1" s="2" t="s">
        <v>2</v>
      </c>
      <c r="D1" s="2" t="s">
        <v>3</v>
      </c>
      <c r="E1" s="2" t="s">
        <v>4</v>
      </c>
      <c r="F1" s="2" t="s">
        <v>5</v>
      </c>
      <c r="G1" s="2" t="s">
        <v>6</v>
      </c>
      <c r="H1" s="2" t="s">
        <v>6</v>
      </c>
      <c r="I1" s="2" t="s">
        <v>7</v>
      </c>
      <c r="J1" s="2" t="s">
        <v>8</v>
      </c>
      <c r="K1" s="2" t="s">
        <v>9</v>
      </c>
      <c r="L1" s="2" t="s">
        <v>10</v>
      </c>
      <c r="M1" s="2" t="s">
        <v>11</v>
      </c>
      <c r="N1" s="2" t="s">
        <v>205</v>
      </c>
      <c r="O1" s="2" t="s">
        <v>13</v>
      </c>
      <c r="P1" s="2" t="s">
        <v>14</v>
      </c>
      <c r="Q1" s="2" t="s">
        <v>15</v>
      </c>
      <c r="R1" s="2" t="s">
        <v>16</v>
      </c>
      <c r="S1" s="2" t="s">
        <v>17</v>
      </c>
      <c r="T1" s="2" t="s">
        <v>18</v>
      </c>
      <c r="U1" s="15" t="s">
        <v>19</v>
      </c>
      <c r="V1" s="2" t="s">
        <v>20</v>
      </c>
      <c r="W1" s="2" t="s">
        <v>21</v>
      </c>
      <c r="X1" s="2"/>
      <c r="Y1" s="2" t="s">
        <v>22</v>
      </c>
      <c r="Z1" s="2" t="s">
        <v>23</v>
      </c>
      <c r="AA1" s="2" t="s">
        <v>24</v>
      </c>
      <c r="AB1" s="2" t="s">
        <v>25</v>
      </c>
    </row>
    <row r="2" spans="1:183">
      <c r="A2" s="2">
        <v>79</v>
      </c>
      <c r="B2" s="2">
        <v>1</v>
      </c>
      <c r="C2" s="2" t="s">
        <v>312</v>
      </c>
      <c r="D2" s="2">
        <v>2017</v>
      </c>
      <c r="E2" s="2" t="s">
        <v>313</v>
      </c>
      <c r="F2" s="2" t="s">
        <v>28</v>
      </c>
      <c r="G2" s="2" t="s">
        <v>206</v>
      </c>
      <c r="H2" s="2" t="s">
        <v>206</v>
      </c>
      <c r="I2" s="2" t="s">
        <v>137</v>
      </c>
      <c r="J2" s="2" t="s">
        <v>31</v>
      </c>
      <c r="K2" s="2" t="s">
        <v>32</v>
      </c>
      <c r="L2" s="2" t="s">
        <v>314</v>
      </c>
      <c r="M2" s="2"/>
      <c r="N2" s="2" t="s">
        <v>207</v>
      </c>
      <c r="O2" s="2"/>
      <c r="P2" s="2" t="s">
        <v>315</v>
      </c>
      <c r="Q2" s="2" t="s">
        <v>208</v>
      </c>
      <c r="R2" s="2" t="s">
        <v>35</v>
      </c>
      <c r="S2" s="2"/>
      <c r="T2" s="2" t="s">
        <v>209</v>
      </c>
      <c r="U2" s="2">
        <v>2.5</v>
      </c>
      <c r="V2" s="2" t="s">
        <v>37</v>
      </c>
      <c r="W2" s="2" t="s">
        <v>316</v>
      </c>
      <c r="X2" s="2" t="s">
        <v>317</v>
      </c>
      <c r="Y2" s="2" t="s">
        <v>39</v>
      </c>
      <c r="Z2" s="2">
        <v>1.002</v>
      </c>
      <c r="AA2" s="2">
        <v>0.999</v>
      </c>
      <c r="AB2" s="2">
        <v>1.005</v>
      </c>
    </row>
    <row r="3" spans="1:183">
      <c r="A3" s="2">
        <v>180</v>
      </c>
      <c r="B3" s="2">
        <v>1</v>
      </c>
      <c r="C3" s="2" t="s">
        <v>318</v>
      </c>
      <c r="D3" s="2">
        <v>2020</v>
      </c>
      <c r="E3" s="2" t="s">
        <v>319</v>
      </c>
      <c r="F3" s="2" t="s">
        <v>45</v>
      </c>
      <c r="G3" s="2" t="s">
        <v>200</v>
      </c>
      <c r="H3" s="2" t="s">
        <v>201</v>
      </c>
      <c r="I3" s="2" t="s">
        <v>30</v>
      </c>
      <c r="J3" s="2" t="s">
        <v>48</v>
      </c>
      <c r="K3" s="2" t="s">
        <v>32</v>
      </c>
      <c r="L3" s="2">
        <v>13400000</v>
      </c>
      <c r="M3" s="2"/>
      <c r="N3" s="2" t="s">
        <v>42</v>
      </c>
      <c r="O3" s="2"/>
      <c r="P3" s="2" t="s">
        <v>320</v>
      </c>
      <c r="Q3" s="2" t="s">
        <v>321</v>
      </c>
      <c r="R3" s="2" t="s">
        <v>35</v>
      </c>
      <c r="S3" s="2"/>
      <c r="T3" s="2" t="s">
        <v>51</v>
      </c>
      <c r="U3" s="2">
        <v>1</v>
      </c>
      <c r="V3" s="2" t="s">
        <v>37</v>
      </c>
      <c r="W3" s="2" t="s">
        <v>322</v>
      </c>
      <c r="X3" s="2" t="s">
        <v>317</v>
      </c>
      <c r="Y3" s="2" t="s">
        <v>39</v>
      </c>
      <c r="Z3" s="2">
        <v>1.006</v>
      </c>
      <c r="AA3" s="2">
        <v>1.005</v>
      </c>
      <c r="AB3" s="2">
        <v>1.008</v>
      </c>
    </row>
    <row r="4" spans="1:183">
      <c r="A4" s="2">
        <v>180</v>
      </c>
      <c r="B4" s="2">
        <v>2</v>
      </c>
      <c r="C4" s="2"/>
      <c r="D4" s="2">
        <v>2020</v>
      </c>
      <c r="E4" s="2"/>
      <c r="F4" s="2" t="s">
        <v>323</v>
      </c>
      <c r="G4" s="2" t="s">
        <v>200</v>
      </c>
      <c r="H4" s="2" t="s">
        <v>201</v>
      </c>
      <c r="I4" s="2" t="s">
        <v>30</v>
      </c>
      <c r="J4" s="2" t="s">
        <v>48</v>
      </c>
      <c r="K4" s="2" t="s">
        <v>32</v>
      </c>
      <c r="L4" s="2"/>
      <c r="M4" s="2"/>
      <c r="N4" s="2" t="s">
        <v>42</v>
      </c>
      <c r="O4" s="2"/>
      <c r="P4" s="2"/>
      <c r="Q4" s="2" t="s">
        <v>321</v>
      </c>
      <c r="R4" s="2" t="s">
        <v>35</v>
      </c>
      <c r="S4" s="2"/>
      <c r="T4" s="2" t="s">
        <v>51</v>
      </c>
      <c r="U4" s="2">
        <v>1</v>
      </c>
      <c r="V4" s="2" t="s">
        <v>37</v>
      </c>
      <c r="W4" s="2" t="s">
        <v>322</v>
      </c>
      <c r="X4" s="2" t="s">
        <v>317</v>
      </c>
      <c r="Y4" s="2" t="s">
        <v>39</v>
      </c>
      <c r="Z4" s="2">
        <v>1.006</v>
      </c>
      <c r="AA4" s="2">
        <v>1.004</v>
      </c>
      <c r="AB4" s="2">
        <v>1.007</v>
      </c>
    </row>
    <row r="5" spans="1:183">
      <c r="A5" s="2">
        <v>180</v>
      </c>
      <c r="B5" s="2">
        <v>3</v>
      </c>
      <c r="C5" s="2"/>
      <c r="D5" s="2">
        <v>2020</v>
      </c>
      <c r="E5" s="2"/>
      <c r="F5" s="2" t="s">
        <v>323</v>
      </c>
      <c r="G5" s="2" t="s">
        <v>200</v>
      </c>
      <c r="H5" s="2" t="s">
        <v>201</v>
      </c>
      <c r="I5" s="2" t="s">
        <v>30</v>
      </c>
      <c r="J5" s="2" t="s">
        <v>48</v>
      </c>
      <c r="K5" s="2" t="s">
        <v>32</v>
      </c>
      <c r="L5" s="2"/>
      <c r="M5" s="2"/>
      <c r="N5" s="2" t="s">
        <v>42</v>
      </c>
      <c r="O5" s="2"/>
      <c r="P5" s="2"/>
      <c r="Q5" s="2" t="s">
        <v>321</v>
      </c>
      <c r="R5" s="2" t="s">
        <v>35</v>
      </c>
      <c r="S5" s="2"/>
      <c r="T5" s="2" t="s">
        <v>51</v>
      </c>
      <c r="U5" s="2">
        <v>1</v>
      </c>
      <c r="V5" s="2" t="s">
        <v>37</v>
      </c>
      <c r="W5" s="2" t="s">
        <v>322</v>
      </c>
      <c r="X5" s="2" t="s">
        <v>317</v>
      </c>
      <c r="Y5" s="2" t="s">
        <v>39</v>
      </c>
      <c r="Z5" s="2">
        <v>1.003</v>
      </c>
      <c r="AA5" s="2">
        <v>1.002</v>
      </c>
      <c r="AB5" s="2">
        <v>1.005</v>
      </c>
    </row>
    <row r="6" spans="1:183">
      <c r="A6" s="2">
        <v>116</v>
      </c>
      <c r="B6" s="2">
        <v>1</v>
      </c>
      <c r="C6" s="2" t="s">
        <v>324</v>
      </c>
      <c r="D6" s="2" t="s">
        <v>325</v>
      </c>
      <c r="E6" s="2"/>
      <c r="F6" s="2" t="s">
        <v>28</v>
      </c>
      <c r="G6" s="2" t="s">
        <v>326</v>
      </c>
      <c r="H6" s="2" t="s">
        <v>326</v>
      </c>
      <c r="I6" s="2" t="s">
        <v>102</v>
      </c>
      <c r="J6" s="2" t="s">
        <v>60</v>
      </c>
      <c r="K6" s="2" t="s">
        <v>111</v>
      </c>
      <c r="L6" s="2"/>
      <c r="N6" s="2" t="s">
        <v>42</v>
      </c>
      <c r="Q6" s="2" t="s">
        <v>295</v>
      </c>
      <c r="R6" s="2" t="s">
        <v>35</v>
      </c>
      <c r="T6" s="2" t="s">
        <v>327</v>
      </c>
      <c r="U6" s="2">
        <v>0.5</v>
      </c>
      <c r="V6" s="2" t="s">
        <v>37</v>
      </c>
      <c r="W6" s="2" t="s">
        <v>328</v>
      </c>
      <c r="X6" s="2" t="s">
        <v>317</v>
      </c>
      <c r="Y6" s="2" t="s">
        <v>39</v>
      </c>
      <c r="Z6" s="2">
        <v>1.108</v>
      </c>
      <c r="AA6" s="2">
        <v>1.03</v>
      </c>
      <c r="AB6" s="2">
        <v>1.193</v>
      </c>
    </row>
    <row r="7" s="13" customFormat="1" spans="1:183">
      <c r="A7" s="2">
        <v>180</v>
      </c>
      <c r="B7" s="2">
        <v>4</v>
      </c>
      <c r="C7" s="2"/>
      <c r="D7" s="2">
        <v>2020</v>
      </c>
      <c r="E7" s="2"/>
      <c r="F7" s="2" t="s">
        <v>45</v>
      </c>
      <c r="G7" s="2" t="s">
        <v>200</v>
      </c>
      <c r="H7" s="2" t="str">
        <f>VLOOKUP(G7,[1]Sheet1!A:E,2,FALSE)</f>
        <v>London, UK</v>
      </c>
      <c r="I7" s="2" t="str">
        <f>VLOOKUP(G7,[1]Sheet1!A:E,3,FALSE)</f>
        <v>Europe</v>
      </c>
      <c r="J7" s="2" t="str">
        <f>VLOOKUP(G7,[1]Sheet1!A:E,4,FALSE)</f>
        <v>Oceanic</v>
      </c>
      <c r="K7" s="2" t="str">
        <f>VLOOKUP(G7,[1]Sheet1!A:E,5,FALSE)</f>
        <v>High income</v>
      </c>
      <c r="L7" s="2"/>
      <c r="M7" s="2"/>
      <c r="N7" s="2" t="s">
        <v>42</v>
      </c>
      <c r="O7" s="2"/>
      <c r="P7" s="2"/>
      <c r="Q7" s="2" t="s">
        <v>321</v>
      </c>
      <c r="R7" s="2" t="s">
        <v>35</v>
      </c>
      <c r="S7" s="2"/>
      <c r="T7" s="2" t="s">
        <v>51</v>
      </c>
      <c r="U7" s="2">
        <v>1</v>
      </c>
      <c r="V7" s="2" t="s">
        <v>37</v>
      </c>
      <c r="W7" s="2" t="s">
        <v>329</v>
      </c>
      <c r="X7" s="2" t="s">
        <v>317</v>
      </c>
      <c r="Y7" s="2" t="s">
        <v>39</v>
      </c>
      <c r="Z7" s="2">
        <v>1.006</v>
      </c>
      <c r="AA7" s="2">
        <v>1.001</v>
      </c>
      <c r="AB7" s="2">
        <v>1.013</v>
      </c>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row>
    <row r="8" s="13" customFormat="1" spans="1:183">
      <c r="A8" s="2">
        <v>180</v>
      </c>
      <c r="B8" s="2">
        <v>5</v>
      </c>
      <c r="C8" s="2"/>
      <c r="D8" s="2">
        <v>2020</v>
      </c>
      <c r="E8" s="2"/>
      <c r="F8" s="2" t="s">
        <v>323</v>
      </c>
      <c r="G8" s="2" t="s">
        <v>200</v>
      </c>
      <c r="H8" s="2" t="str">
        <f>VLOOKUP(G8,[1]Sheet1!A:E,2,FALSE)</f>
        <v>London, UK</v>
      </c>
      <c r="I8" s="2" t="str">
        <f>VLOOKUP(G8,[1]Sheet1!A:E,3,FALSE)</f>
        <v>Europe</v>
      </c>
      <c r="J8" s="2" t="str">
        <f>VLOOKUP(G8,[1]Sheet1!A:E,4,FALSE)</f>
        <v>Oceanic</v>
      </c>
      <c r="K8" s="2" t="str">
        <f>VLOOKUP(G8,[1]Sheet1!A:E,5,FALSE)</f>
        <v>High income</v>
      </c>
      <c r="L8" s="2"/>
      <c r="M8" s="2"/>
      <c r="N8" s="2" t="s">
        <v>42</v>
      </c>
      <c r="O8" s="2"/>
      <c r="P8" s="2"/>
      <c r="Q8" s="2" t="s">
        <v>321</v>
      </c>
      <c r="R8" s="2" t="s">
        <v>35</v>
      </c>
      <c r="S8" s="2"/>
      <c r="T8" s="2" t="s">
        <v>51</v>
      </c>
      <c r="U8" s="2">
        <v>1</v>
      </c>
      <c r="V8" s="2" t="s">
        <v>37</v>
      </c>
      <c r="W8" s="2" t="s">
        <v>329</v>
      </c>
      <c r="X8" s="2" t="s">
        <v>317</v>
      </c>
      <c r="Y8" s="2" t="s">
        <v>39</v>
      </c>
      <c r="Z8" s="2">
        <v>1.007</v>
      </c>
      <c r="AA8" s="2">
        <v>1.001</v>
      </c>
      <c r="AB8" s="2">
        <v>1.013</v>
      </c>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row>
    <row r="9" s="13" customFormat="1" spans="1:183">
      <c r="A9" s="2">
        <v>180</v>
      </c>
      <c r="B9" s="2">
        <v>6</v>
      </c>
      <c r="C9" s="2"/>
      <c r="D9" s="2">
        <v>2020</v>
      </c>
      <c r="E9" s="2"/>
      <c r="F9" s="2" t="s">
        <v>45</v>
      </c>
      <c r="G9" s="2" t="s">
        <v>200</v>
      </c>
      <c r="H9" s="2" t="str">
        <f>VLOOKUP(G9,[1]Sheet1!A:E,2,FALSE)</f>
        <v>London, UK</v>
      </c>
      <c r="I9" s="2" t="str">
        <f>VLOOKUP(G9,[1]Sheet1!A:E,3,FALSE)</f>
        <v>Europe</v>
      </c>
      <c r="J9" s="2" t="str">
        <f>VLOOKUP(G9,[1]Sheet1!A:E,4,FALSE)</f>
        <v>Oceanic</v>
      </c>
      <c r="K9" s="2" t="str">
        <f>VLOOKUP(G9,[1]Sheet1!A:E,5,FALSE)</f>
        <v>High income</v>
      </c>
      <c r="L9" s="2"/>
      <c r="M9" s="2"/>
      <c r="N9" s="2" t="s">
        <v>42</v>
      </c>
      <c r="O9" s="2"/>
      <c r="P9" s="2"/>
      <c r="Q9" s="2" t="s">
        <v>321</v>
      </c>
      <c r="R9" s="2" t="s">
        <v>35</v>
      </c>
      <c r="S9" s="2"/>
      <c r="T9" s="2" t="s">
        <v>51</v>
      </c>
      <c r="U9" s="2">
        <v>1</v>
      </c>
      <c r="V9" s="2" t="s">
        <v>37</v>
      </c>
      <c r="W9" s="2" t="s">
        <v>330</v>
      </c>
      <c r="X9" s="2" t="s">
        <v>317</v>
      </c>
      <c r="Y9" s="2" t="s">
        <v>39</v>
      </c>
      <c r="Z9" s="2">
        <v>1.015</v>
      </c>
      <c r="AA9" s="2">
        <v>1.009</v>
      </c>
      <c r="AB9" s="2">
        <v>1.022</v>
      </c>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row>
    <row r="10" s="13" customFormat="1" spans="1:183">
      <c r="A10" s="2">
        <v>180</v>
      </c>
      <c r="B10" s="2">
        <v>7</v>
      </c>
      <c r="C10" s="2"/>
      <c r="D10" s="2">
        <v>2020</v>
      </c>
      <c r="E10" s="2"/>
      <c r="F10" s="2" t="s">
        <v>323</v>
      </c>
      <c r="G10" s="2" t="s">
        <v>200</v>
      </c>
      <c r="H10" s="2" t="str">
        <f>VLOOKUP(G10,[1]Sheet1!A:E,2,FALSE)</f>
        <v>London, UK</v>
      </c>
      <c r="I10" s="2" t="str">
        <f>VLOOKUP(G10,[1]Sheet1!A:E,3,FALSE)</f>
        <v>Europe</v>
      </c>
      <c r="J10" s="2" t="str">
        <f>VLOOKUP(G10,[1]Sheet1!A:E,4,FALSE)</f>
        <v>Oceanic</v>
      </c>
      <c r="K10" s="2" t="str">
        <f>VLOOKUP(G10,[1]Sheet1!A:E,5,FALSE)</f>
        <v>High income</v>
      </c>
      <c r="L10" s="2"/>
      <c r="M10" s="2"/>
      <c r="N10" s="2" t="s">
        <v>42</v>
      </c>
      <c r="O10" s="2"/>
      <c r="P10" s="2"/>
      <c r="Q10" s="2" t="s">
        <v>321</v>
      </c>
      <c r="R10" s="2" t="s">
        <v>35</v>
      </c>
      <c r="S10" s="2"/>
      <c r="T10" s="2" t="s">
        <v>51</v>
      </c>
      <c r="U10" s="2">
        <v>1</v>
      </c>
      <c r="V10" s="2" t="s">
        <v>37</v>
      </c>
      <c r="W10" s="2" t="s">
        <v>330</v>
      </c>
      <c r="X10" s="2" t="s">
        <v>317</v>
      </c>
      <c r="Y10" s="2" t="s">
        <v>39</v>
      </c>
      <c r="Z10" s="2">
        <v>1.007</v>
      </c>
      <c r="AA10" s="2">
        <v>1.001</v>
      </c>
      <c r="AB10" s="2">
        <v>1.013</v>
      </c>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2"/>
      <c r="FU10" s="2"/>
      <c r="FV10" s="2"/>
      <c r="FW10" s="2"/>
      <c r="FX10" s="2"/>
      <c r="FY10" s="2"/>
      <c r="FZ10" s="2"/>
      <c r="GA10" s="2"/>
    </row>
    <row r="11" s="13" customFormat="1" spans="1:183">
      <c r="A11" s="2">
        <v>180</v>
      </c>
      <c r="B11" s="2">
        <v>8</v>
      </c>
      <c r="C11" s="2"/>
      <c r="D11" s="2">
        <v>2020</v>
      </c>
      <c r="E11" s="2"/>
      <c r="F11" s="2" t="s">
        <v>45</v>
      </c>
      <c r="G11" s="2" t="s">
        <v>200</v>
      </c>
      <c r="H11" s="2" t="str">
        <f>VLOOKUP(G11,[1]Sheet1!A:E,2,FALSE)</f>
        <v>London, UK</v>
      </c>
      <c r="I11" s="2" t="str">
        <f>VLOOKUP(G11,[1]Sheet1!A:E,3,FALSE)</f>
        <v>Europe</v>
      </c>
      <c r="J11" s="2" t="str">
        <f>VLOOKUP(G11,[1]Sheet1!A:E,4,FALSE)</f>
        <v>Oceanic</v>
      </c>
      <c r="K11" s="2" t="str">
        <f>VLOOKUP(G11,[1]Sheet1!A:E,5,FALSE)</f>
        <v>High income</v>
      </c>
      <c r="L11" s="2"/>
      <c r="M11" s="2"/>
      <c r="N11" s="2" t="s">
        <v>42</v>
      </c>
      <c r="O11" s="2"/>
      <c r="P11" s="2"/>
      <c r="Q11" s="2" t="s">
        <v>321</v>
      </c>
      <c r="R11" s="2" t="s">
        <v>35</v>
      </c>
      <c r="S11" s="2"/>
      <c r="T11" s="2" t="s">
        <v>51</v>
      </c>
      <c r="U11" s="2">
        <v>1</v>
      </c>
      <c r="V11" s="2" t="s">
        <v>37</v>
      </c>
      <c r="W11" s="2" t="s">
        <v>331</v>
      </c>
      <c r="X11" s="2" t="s">
        <v>317</v>
      </c>
      <c r="Y11" s="2" t="s">
        <v>39</v>
      </c>
      <c r="Z11" s="2">
        <v>1.009</v>
      </c>
      <c r="AA11" s="2">
        <v>0.996</v>
      </c>
      <c r="AB11" s="2">
        <v>1.022</v>
      </c>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row>
    <row r="12" s="13" customFormat="1" spans="1:183">
      <c r="A12" s="2">
        <v>180</v>
      </c>
      <c r="B12" s="2">
        <v>9</v>
      </c>
      <c r="C12" s="2"/>
      <c r="D12" s="2">
        <v>2020</v>
      </c>
      <c r="E12" s="2"/>
      <c r="F12" s="2" t="s">
        <v>323</v>
      </c>
      <c r="G12" s="2" t="s">
        <v>200</v>
      </c>
      <c r="H12" s="2" t="str">
        <f>VLOOKUP(G12,[1]Sheet1!A:E,2,FALSE)</f>
        <v>London, UK</v>
      </c>
      <c r="I12" s="2" t="str">
        <f>VLOOKUP(G12,[1]Sheet1!A:E,3,FALSE)</f>
        <v>Europe</v>
      </c>
      <c r="J12" s="2" t="str">
        <f>VLOOKUP(G12,[1]Sheet1!A:E,4,FALSE)</f>
        <v>Oceanic</v>
      </c>
      <c r="K12" s="2" t="str">
        <f>VLOOKUP(G12,[1]Sheet1!A:E,5,FALSE)</f>
        <v>High income</v>
      </c>
      <c r="L12" s="2"/>
      <c r="M12" s="2"/>
      <c r="N12" s="2" t="s">
        <v>42</v>
      </c>
      <c r="O12" s="2"/>
      <c r="P12" s="2"/>
      <c r="Q12" s="2" t="s">
        <v>321</v>
      </c>
      <c r="R12" s="2" t="s">
        <v>35</v>
      </c>
      <c r="S12" s="2"/>
      <c r="T12" s="2" t="s">
        <v>51</v>
      </c>
      <c r="U12" s="2">
        <v>1</v>
      </c>
      <c r="V12" s="2" t="s">
        <v>37</v>
      </c>
      <c r="W12" s="2" t="s">
        <v>331</v>
      </c>
      <c r="X12" s="2" t="s">
        <v>317</v>
      </c>
      <c r="Y12" s="2" t="s">
        <v>39</v>
      </c>
      <c r="Z12" s="2">
        <v>0.996</v>
      </c>
      <c r="AA12" s="2">
        <v>0.983</v>
      </c>
      <c r="AB12" s="2">
        <v>1.009</v>
      </c>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row>
    <row r="13" s="13" customFormat="1" spans="1:183">
      <c r="A13" s="2">
        <v>690</v>
      </c>
      <c r="B13" s="2">
        <v>1</v>
      </c>
      <c r="C13" s="2"/>
      <c r="D13" s="2">
        <v>2011</v>
      </c>
      <c r="E13" s="2" t="s">
        <v>332</v>
      </c>
      <c r="F13" s="2" t="s">
        <v>28</v>
      </c>
      <c r="G13" s="2" t="s">
        <v>326</v>
      </c>
      <c r="H13" s="2" t="str">
        <f>VLOOKUP(G13,[1]Sheet1!A:E,2,FALSE)</f>
        <v>Chiang Mai, Thailand</v>
      </c>
      <c r="I13" s="2" t="str">
        <f>VLOOKUP(G13,[1]Sheet1!A:E,3,FALSE)</f>
        <v>Asia</v>
      </c>
      <c r="J13" s="2" t="str">
        <f>VLOOKUP(G13,[1]Sheet1!A:E,4,FALSE)</f>
        <v>Tropical</v>
      </c>
      <c r="K13" s="2" t="str">
        <f>VLOOKUP(G13,[1]Sheet1!A:E,5,FALSE)</f>
        <v>Upper-middle income</v>
      </c>
      <c r="L13" s="2"/>
      <c r="M13" s="2"/>
      <c r="N13" s="2" t="s">
        <v>42</v>
      </c>
      <c r="O13" s="2"/>
      <c r="P13" s="2" t="s">
        <v>333</v>
      </c>
      <c r="Q13" s="2" t="s">
        <v>334</v>
      </c>
      <c r="R13" s="2" t="s">
        <v>35</v>
      </c>
      <c r="S13" s="2"/>
      <c r="T13" s="2" t="s">
        <v>36</v>
      </c>
      <c r="U13" s="2">
        <v>0.5</v>
      </c>
      <c r="V13" s="2" t="s">
        <v>37</v>
      </c>
      <c r="W13" s="2" t="s">
        <v>335</v>
      </c>
      <c r="X13" s="2" t="s">
        <v>317</v>
      </c>
      <c r="Y13" s="2" t="s">
        <v>39</v>
      </c>
      <c r="Z13" s="2" t="s">
        <v>336</v>
      </c>
      <c r="AA13" s="2" t="s">
        <v>337</v>
      </c>
      <c r="AB13" s="2" t="s">
        <v>338</v>
      </c>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c r="GA13" s="2"/>
    </row>
    <row r="14" s="13" customFormat="1" spans="1:183">
      <c r="A14" s="2">
        <v>690</v>
      </c>
      <c r="B14" s="2">
        <v>2</v>
      </c>
      <c r="C14" s="2"/>
      <c r="D14" s="2">
        <v>2011</v>
      </c>
      <c r="E14" s="2"/>
      <c r="F14" s="2" t="s">
        <v>28</v>
      </c>
      <c r="G14" s="2" t="s">
        <v>326</v>
      </c>
      <c r="H14" s="2" t="str">
        <f>VLOOKUP(G14,[1]Sheet1!A:E,2,FALSE)</f>
        <v>Chiang Mai, Thailand</v>
      </c>
      <c r="I14" s="2" t="str">
        <f>VLOOKUP(G14,[1]Sheet1!A:E,3,FALSE)</f>
        <v>Asia</v>
      </c>
      <c r="J14" s="2" t="str">
        <f>VLOOKUP(G14,[1]Sheet1!A:E,4,FALSE)</f>
        <v>Tropical</v>
      </c>
      <c r="K14" s="2" t="str">
        <f>VLOOKUP(G14,[1]Sheet1!A:E,5,FALSE)</f>
        <v>Upper-middle income</v>
      </c>
      <c r="L14" s="2"/>
      <c r="M14" s="2"/>
      <c r="N14" s="2" t="s">
        <v>42</v>
      </c>
      <c r="O14" s="2"/>
      <c r="P14" s="2"/>
      <c r="Q14" s="2" t="s">
        <v>339</v>
      </c>
      <c r="R14" s="2" t="s">
        <v>35</v>
      </c>
      <c r="S14" s="2"/>
      <c r="T14" s="2" t="s">
        <v>36</v>
      </c>
      <c r="U14" s="2">
        <v>0.5</v>
      </c>
      <c r="V14" s="2" t="s">
        <v>37</v>
      </c>
      <c r="W14" s="2" t="s">
        <v>340</v>
      </c>
      <c r="X14" s="2" t="s">
        <v>317</v>
      </c>
      <c r="Y14" s="2" t="s">
        <v>39</v>
      </c>
      <c r="Z14" s="2" t="s">
        <v>336</v>
      </c>
      <c r="AA14" s="2" t="s">
        <v>341</v>
      </c>
      <c r="AB14" s="2" t="s">
        <v>342</v>
      </c>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row>
  </sheetData>
  <autoFilter xmlns:etc="http://www.wps.cn/officeDocument/2017/etCustomData" ref="A1:AB14" etc:filterBottomFollowUsedRange="0">
    <extLst/>
  </autoFilter>
  <pageMargins left="0.75" right="0.75" top="1" bottom="1" header="0.5" footer="0.5"/>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9"/>
  <sheetViews>
    <sheetView tabSelected="1" workbookViewId="0">
      <pane xSplit="1" topLeftCell="B1" activePane="topRight" state="frozen"/>
      <selection/>
      <selection pane="topRight" activeCell="U14" sqref="U14"/>
    </sheetView>
  </sheetViews>
  <sheetFormatPr defaultColWidth="9.02654867256637" defaultRowHeight="13.85"/>
  <cols>
    <col min="1" max="114" width="9.02654867256637" style="2"/>
  </cols>
  <sheetData>
    <row r="1" ht="13.9" spans="1:28">
      <c r="A1" s="2" t="s">
        <v>0</v>
      </c>
      <c r="B1" s="2" t="s">
        <v>1</v>
      </c>
      <c r="C1" s="2" t="s">
        <v>2</v>
      </c>
      <c r="D1" s="2" t="s">
        <v>3</v>
      </c>
      <c r="E1" s="2" t="s">
        <v>4</v>
      </c>
      <c r="F1" s="2" t="s">
        <v>5</v>
      </c>
      <c r="G1" s="2" t="s">
        <v>6</v>
      </c>
      <c r="H1" s="2" t="s">
        <v>6</v>
      </c>
      <c r="I1" s="2" t="s">
        <v>7</v>
      </c>
      <c r="J1" s="2" t="s">
        <v>8</v>
      </c>
      <c r="K1" s="2" t="s">
        <v>9</v>
      </c>
      <c r="L1" s="2" t="s">
        <v>10</v>
      </c>
      <c r="M1" s="2" t="s">
        <v>11</v>
      </c>
      <c r="N1" s="2" t="s">
        <v>205</v>
      </c>
      <c r="O1" s="2" t="s">
        <v>13</v>
      </c>
      <c r="P1" s="2" t="s">
        <v>14</v>
      </c>
      <c r="Q1" s="2" t="s">
        <v>15</v>
      </c>
      <c r="R1" s="2" t="s">
        <v>16</v>
      </c>
      <c r="S1" s="2" t="s">
        <v>17</v>
      </c>
      <c r="T1" s="2" t="s">
        <v>18</v>
      </c>
      <c r="U1" s="15" t="s">
        <v>19</v>
      </c>
      <c r="V1" s="2" t="s">
        <v>20</v>
      </c>
      <c r="W1" s="2" t="s">
        <v>21</v>
      </c>
      <c r="X1" s="2"/>
      <c r="Y1" s="2" t="s">
        <v>22</v>
      </c>
      <c r="Z1" s="2" t="s">
        <v>23</v>
      </c>
      <c r="AA1" s="2" t="s">
        <v>24</v>
      </c>
      <c r="AB1" s="2" t="s">
        <v>25</v>
      </c>
    </row>
    <row r="2" spans="1:28">
      <c r="A2" s="2">
        <v>24</v>
      </c>
      <c r="B2" s="2">
        <v>1</v>
      </c>
      <c r="C2" s="2"/>
      <c r="D2" s="2">
        <v>2010</v>
      </c>
      <c r="E2" s="2"/>
      <c r="F2" s="2" t="s">
        <v>28</v>
      </c>
      <c r="G2" s="2" t="s">
        <v>29</v>
      </c>
      <c r="H2" s="2" t="s">
        <v>29</v>
      </c>
      <c r="I2" s="2" t="s">
        <v>30</v>
      </c>
      <c r="J2" s="2" t="s">
        <v>31</v>
      </c>
      <c r="K2" s="2" t="s">
        <v>32</v>
      </c>
      <c r="L2" s="2"/>
      <c r="M2" s="2"/>
      <c r="N2" s="2" t="s">
        <v>42</v>
      </c>
      <c r="O2" s="2"/>
      <c r="P2" s="2"/>
      <c r="Q2" s="2" t="s">
        <v>34</v>
      </c>
      <c r="R2" s="2" t="s">
        <v>35</v>
      </c>
      <c r="S2" s="2"/>
      <c r="T2" s="2" t="s">
        <v>36</v>
      </c>
      <c r="U2" s="2">
        <v>0.5</v>
      </c>
      <c r="V2" s="2" t="s">
        <v>37</v>
      </c>
      <c r="W2" s="2" t="s">
        <v>343</v>
      </c>
      <c r="X2" s="2" t="s">
        <v>344</v>
      </c>
      <c r="Y2" s="2" t="s">
        <v>39</v>
      </c>
      <c r="Z2" s="2">
        <v>1.023</v>
      </c>
      <c r="AA2" s="2">
        <v>1.005</v>
      </c>
      <c r="AB2" s="2">
        <v>1.041</v>
      </c>
    </row>
    <row r="3" spans="1:28">
      <c r="A3" s="2">
        <v>24</v>
      </c>
      <c r="B3" s="2">
        <v>2</v>
      </c>
      <c r="C3" s="2"/>
      <c r="D3" s="2">
        <v>2010</v>
      </c>
      <c r="E3" s="2"/>
      <c r="F3" s="2" t="s">
        <v>28</v>
      </c>
      <c r="G3" s="2" t="s">
        <v>40</v>
      </c>
      <c r="H3" s="2" t="s">
        <v>41</v>
      </c>
      <c r="I3" s="2" t="s">
        <v>30</v>
      </c>
      <c r="J3" s="2" t="s">
        <v>31</v>
      </c>
      <c r="K3" s="2" t="s">
        <v>32</v>
      </c>
      <c r="L3" s="2"/>
      <c r="M3" s="2"/>
      <c r="N3" s="2" t="s">
        <v>42</v>
      </c>
      <c r="O3" s="2"/>
      <c r="P3" s="2"/>
      <c r="Q3" s="2" t="s">
        <v>34</v>
      </c>
      <c r="R3" s="2" t="s">
        <v>35</v>
      </c>
      <c r="S3" s="2"/>
      <c r="T3" s="2" t="s">
        <v>36</v>
      </c>
      <c r="U3" s="2">
        <v>0.5</v>
      </c>
      <c r="V3" s="2" t="s">
        <v>37</v>
      </c>
      <c r="W3" s="2" t="s">
        <v>343</v>
      </c>
      <c r="X3" s="2" t="s">
        <v>344</v>
      </c>
      <c r="Y3" s="2" t="s">
        <v>39</v>
      </c>
      <c r="Z3" s="2">
        <v>1.03</v>
      </c>
      <c r="AA3" s="2">
        <v>1.014</v>
      </c>
      <c r="AB3" s="2">
        <v>1.047</v>
      </c>
    </row>
    <row r="4" spans="1:28">
      <c r="A4" s="2">
        <v>42</v>
      </c>
      <c r="B4" s="2">
        <v>1</v>
      </c>
      <c r="C4" s="2"/>
      <c r="D4" s="2">
        <v>2008</v>
      </c>
      <c r="E4" s="2"/>
      <c r="F4" s="2" t="s">
        <v>45</v>
      </c>
      <c r="G4" s="2" t="s">
        <v>31</v>
      </c>
      <c r="H4" s="2" t="s">
        <v>69</v>
      </c>
      <c r="I4" s="2" t="s">
        <v>30</v>
      </c>
      <c r="J4" s="2" t="s">
        <v>31</v>
      </c>
      <c r="K4" s="2" t="s">
        <v>32</v>
      </c>
      <c r="L4" s="2"/>
      <c r="M4" s="2"/>
      <c r="N4" s="2" t="s">
        <v>42</v>
      </c>
      <c r="O4" s="2"/>
      <c r="P4" s="2"/>
      <c r="Q4" s="2" t="s">
        <v>72</v>
      </c>
      <c r="R4" s="2" t="s">
        <v>35</v>
      </c>
      <c r="S4" s="2"/>
      <c r="T4" s="2" t="s">
        <v>73</v>
      </c>
      <c r="U4" s="2">
        <v>1.5</v>
      </c>
      <c r="V4" s="2" t="s">
        <v>37</v>
      </c>
      <c r="W4" s="2" t="s">
        <v>345</v>
      </c>
      <c r="X4" s="2" t="s">
        <v>344</v>
      </c>
      <c r="Y4" s="2" t="s">
        <v>39</v>
      </c>
      <c r="Z4" s="2">
        <v>1.0337</v>
      </c>
      <c r="AA4" s="2">
        <v>0.9854</v>
      </c>
      <c r="AB4" s="2">
        <v>1.0822</v>
      </c>
    </row>
    <row r="5" spans="1:28">
      <c r="A5" s="2">
        <v>42</v>
      </c>
      <c r="B5" s="2">
        <v>2</v>
      </c>
      <c r="C5" s="2"/>
      <c r="D5" s="2">
        <v>2008</v>
      </c>
      <c r="E5" s="2"/>
      <c r="F5" s="2" t="s">
        <v>54</v>
      </c>
      <c r="G5" s="2" t="s">
        <v>31</v>
      </c>
      <c r="H5" s="2" t="s">
        <v>69</v>
      </c>
      <c r="I5" s="2" t="s">
        <v>30</v>
      </c>
      <c r="J5" s="2" t="s">
        <v>31</v>
      </c>
      <c r="K5" s="2" t="s">
        <v>32</v>
      </c>
      <c r="L5" s="2"/>
      <c r="M5" s="2"/>
      <c r="N5" s="2" t="s">
        <v>42</v>
      </c>
      <c r="O5" s="2"/>
      <c r="P5" s="2"/>
      <c r="Q5" s="2" t="s">
        <v>72</v>
      </c>
      <c r="R5" s="2" t="s">
        <v>35</v>
      </c>
      <c r="S5" s="2"/>
      <c r="T5" s="2" t="s">
        <v>73</v>
      </c>
      <c r="U5" s="2">
        <v>1.5</v>
      </c>
      <c r="V5" s="2" t="s">
        <v>37</v>
      </c>
      <c r="W5" s="2" t="s">
        <v>345</v>
      </c>
      <c r="X5" s="2" t="s">
        <v>344</v>
      </c>
      <c r="Y5" s="2" t="s">
        <v>39</v>
      </c>
      <c r="Z5" s="2">
        <v>1.081</v>
      </c>
      <c r="AA5" s="2">
        <v>1.0324</v>
      </c>
      <c r="AB5" s="2">
        <v>1.1337</v>
      </c>
    </row>
    <row r="6" spans="1:28">
      <c r="A6" s="2">
        <v>42</v>
      </c>
      <c r="B6" s="2">
        <v>3</v>
      </c>
      <c r="C6" s="2"/>
      <c r="D6" s="2">
        <v>2008</v>
      </c>
      <c r="E6" s="2"/>
      <c r="F6" s="2" t="s">
        <v>45</v>
      </c>
      <c r="G6" s="2" t="s">
        <v>75</v>
      </c>
      <c r="H6" s="2" t="s">
        <v>76</v>
      </c>
      <c r="I6" s="2" t="s">
        <v>30</v>
      </c>
      <c r="J6" s="2" t="s">
        <v>77</v>
      </c>
      <c r="K6" s="2" t="s">
        <v>32</v>
      </c>
      <c r="L6" s="2"/>
      <c r="M6" s="2"/>
      <c r="N6" s="2" t="s">
        <v>42</v>
      </c>
      <c r="O6" s="2"/>
      <c r="P6" s="2"/>
      <c r="Q6" s="2" t="s">
        <v>72</v>
      </c>
      <c r="R6" s="2" t="s">
        <v>35</v>
      </c>
      <c r="S6" s="2"/>
      <c r="T6" s="2" t="s">
        <v>73</v>
      </c>
      <c r="U6" s="2">
        <v>1.5</v>
      </c>
      <c r="V6" s="2" t="s">
        <v>37</v>
      </c>
      <c r="W6" s="2" t="s">
        <v>345</v>
      </c>
      <c r="X6" s="2" t="s">
        <v>344</v>
      </c>
      <c r="Y6" s="2" t="s">
        <v>39</v>
      </c>
      <c r="Z6" s="2">
        <v>1.039</v>
      </c>
      <c r="AA6" s="2">
        <v>0.9984</v>
      </c>
      <c r="AB6" s="2">
        <v>1.0892</v>
      </c>
    </row>
    <row r="7" spans="1:28">
      <c r="A7" s="2">
        <v>42</v>
      </c>
      <c r="B7" s="2">
        <v>4</v>
      </c>
      <c r="C7" s="2"/>
      <c r="D7" s="2">
        <v>2008</v>
      </c>
      <c r="E7" s="2"/>
      <c r="F7" s="2" t="s">
        <v>54</v>
      </c>
      <c r="G7" s="2" t="s">
        <v>75</v>
      </c>
      <c r="H7" s="2" t="s">
        <v>76</v>
      </c>
      <c r="I7" s="2" t="s">
        <v>30</v>
      </c>
      <c r="J7" s="2" t="s">
        <v>77</v>
      </c>
      <c r="K7" s="2" t="s">
        <v>32</v>
      </c>
      <c r="L7" s="2"/>
      <c r="M7" s="2"/>
      <c r="N7" s="2" t="s">
        <v>42</v>
      </c>
      <c r="O7" s="2"/>
      <c r="P7" s="2"/>
      <c r="Q7" s="2" t="s">
        <v>72</v>
      </c>
      <c r="R7" s="2" t="s">
        <v>35</v>
      </c>
      <c r="S7" s="2"/>
      <c r="T7" s="2" t="s">
        <v>73</v>
      </c>
      <c r="U7" s="2">
        <v>1.5</v>
      </c>
      <c r="V7" s="2" t="s">
        <v>37</v>
      </c>
      <c r="W7" s="2" t="s">
        <v>346</v>
      </c>
      <c r="X7" s="2" t="s">
        <v>344</v>
      </c>
      <c r="Y7" s="2" t="s">
        <v>39</v>
      </c>
      <c r="Z7" s="2">
        <v>1.0662</v>
      </c>
      <c r="AA7" s="2">
        <v>1.0304</v>
      </c>
      <c r="AB7" s="2">
        <v>1.1142</v>
      </c>
    </row>
    <row r="8" spans="1:28">
      <c r="A8" s="2">
        <v>289</v>
      </c>
      <c r="B8" s="2">
        <v>2</v>
      </c>
      <c r="C8" s="2"/>
      <c r="D8" s="2">
        <v>2012</v>
      </c>
      <c r="E8" s="2"/>
      <c r="F8" s="2" t="s">
        <v>45</v>
      </c>
      <c r="G8" s="2" t="s">
        <v>115</v>
      </c>
      <c r="H8" s="2" t="s">
        <v>47</v>
      </c>
      <c r="I8" s="2" t="s">
        <v>30</v>
      </c>
      <c r="J8" s="2" t="s">
        <v>48</v>
      </c>
      <c r="K8" s="2" t="s">
        <v>32</v>
      </c>
      <c r="L8" s="2"/>
      <c r="M8" s="2"/>
      <c r="N8" s="2" t="s">
        <v>42</v>
      </c>
      <c r="O8" s="2"/>
      <c r="P8" s="2" t="s">
        <v>116</v>
      </c>
      <c r="Q8" s="2" t="s">
        <v>117</v>
      </c>
      <c r="R8" s="2" t="s">
        <v>35</v>
      </c>
      <c r="S8" s="2"/>
      <c r="T8" s="2" t="s">
        <v>36</v>
      </c>
      <c r="U8" s="2">
        <v>0.5</v>
      </c>
      <c r="V8" s="2" t="s">
        <v>37</v>
      </c>
      <c r="W8" s="2" t="s">
        <v>347</v>
      </c>
      <c r="X8" s="2" t="s">
        <v>344</v>
      </c>
      <c r="Y8" s="2" t="s">
        <v>39</v>
      </c>
      <c r="Z8" s="2">
        <v>1.043</v>
      </c>
      <c r="AA8" s="2">
        <v>1.034</v>
      </c>
      <c r="AB8" s="2">
        <v>1.051</v>
      </c>
    </row>
    <row r="9" spans="1:28">
      <c r="A9" s="2">
        <v>289</v>
      </c>
      <c r="B9" s="2">
        <v>3</v>
      </c>
      <c r="C9" s="2"/>
      <c r="D9" s="2">
        <v>2012</v>
      </c>
      <c r="E9" s="2"/>
      <c r="F9" s="2" t="s">
        <v>348</v>
      </c>
      <c r="G9" s="2" t="s">
        <v>115</v>
      </c>
      <c r="H9" s="2" t="s">
        <v>47</v>
      </c>
      <c r="I9" s="2" t="s">
        <v>30</v>
      </c>
      <c r="J9" s="2" t="s">
        <v>48</v>
      </c>
      <c r="K9" s="2" t="s">
        <v>32</v>
      </c>
      <c r="L9" s="2"/>
      <c r="M9" s="2"/>
      <c r="N9" s="2" t="s">
        <v>42</v>
      </c>
      <c r="O9" s="2"/>
      <c r="P9" s="2" t="s">
        <v>116</v>
      </c>
      <c r="Q9" s="2" t="s">
        <v>117</v>
      </c>
      <c r="R9" s="2" t="s">
        <v>35</v>
      </c>
      <c r="S9" s="2"/>
      <c r="T9" s="2" t="s">
        <v>36</v>
      </c>
      <c r="U9" s="2">
        <v>0.5</v>
      </c>
      <c r="V9" s="2" t="s">
        <v>37</v>
      </c>
      <c r="W9" s="2" t="s">
        <v>347</v>
      </c>
      <c r="X9" s="2" t="s">
        <v>344</v>
      </c>
      <c r="Y9" s="2" t="s">
        <v>39</v>
      </c>
      <c r="Z9" s="2">
        <v>1.043</v>
      </c>
      <c r="AA9" s="2">
        <v>1.034</v>
      </c>
      <c r="AB9" s="2">
        <v>1.053</v>
      </c>
    </row>
  </sheetData>
  <pageMargins left="0.75" right="0.75" top="1" bottom="1" header="0.5" footer="0.5"/>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7"/>
  <sheetViews>
    <sheetView workbookViewId="0">
      <pane xSplit="1" topLeftCell="B1" activePane="topRight" state="frozen"/>
      <selection/>
      <selection pane="topRight" activeCell="O31" sqref="O31"/>
    </sheetView>
  </sheetViews>
  <sheetFormatPr defaultColWidth="9.02654867256637" defaultRowHeight="13.85" outlineLevelRow="6"/>
  <cols>
    <col min="1" max="175" width="9.02654867256637" style="2"/>
  </cols>
  <sheetData>
    <row r="1" ht="13.9" spans="1:28">
      <c r="A1" s="2" t="s">
        <v>0</v>
      </c>
      <c r="B1" s="2" t="s">
        <v>1</v>
      </c>
      <c r="C1" s="2" t="s">
        <v>2</v>
      </c>
      <c r="D1" s="2" t="s">
        <v>3</v>
      </c>
      <c r="E1" s="2" t="s">
        <v>4</v>
      </c>
      <c r="F1" s="2" t="s">
        <v>5</v>
      </c>
      <c r="G1" s="2" t="s">
        <v>6</v>
      </c>
      <c r="H1" s="2" t="s">
        <v>6</v>
      </c>
      <c r="I1" s="2" t="s">
        <v>7</v>
      </c>
      <c r="J1" s="2" t="s">
        <v>8</v>
      </c>
      <c r="K1" s="2" t="s">
        <v>9</v>
      </c>
      <c r="L1" s="2" t="s">
        <v>10</v>
      </c>
      <c r="M1" s="2" t="s">
        <v>11</v>
      </c>
      <c r="N1" s="2" t="s">
        <v>205</v>
      </c>
      <c r="O1" s="2" t="s">
        <v>13</v>
      </c>
      <c r="P1" s="2" t="s">
        <v>14</v>
      </c>
      <c r="Q1" s="2" t="s">
        <v>15</v>
      </c>
      <c r="R1" s="2" t="s">
        <v>16</v>
      </c>
      <c r="S1" s="2" t="s">
        <v>17</v>
      </c>
      <c r="T1" s="2" t="s">
        <v>18</v>
      </c>
      <c r="U1" s="15" t="s">
        <v>19</v>
      </c>
      <c r="V1" s="2" t="s">
        <v>20</v>
      </c>
      <c r="W1" s="2" t="s">
        <v>21</v>
      </c>
      <c r="X1" s="2"/>
      <c r="Y1" s="2" t="s">
        <v>22</v>
      </c>
      <c r="Z1" s="2" t="s">
        <v>23</v>
      </c>
      <c r="AA1" s="2" t="s">
        <v>24</v>
      </c>
      <c r="AB1" s="2" t="s">
        <v>25</v>
      </c>
    </row>
    <row r="2" spans="1:28">
      <c r="A2" s="2">
        <v>289</v>
      </c>
      <c r="B2" s="2">
        <v>5</v>
      </c>
      <c r="C2" s="2"/>
      <c r="D2" s="2">
        <v>2012</v>
      </c>
      <c r="E2" s="2"/>
      <c r="F2" s="2" t="s">
        <v>45</v>
      </c>
      <c r="G2" s="2" t="s">
        <v>115</v>
      </c>
      <c r="H2" s="2" t="s">
        <v>47</v>
      </c>
      <c r="I2" s="2" t="s">
        <v>30</v>
      </c>
      <c r="J2" s="2" t="s">
        <v>48</v>
      </c>
      <c r="K2" s="2" t="s">
        <v>32</v>
      </c>
      <c r="L2" s="2"/>
      <c r="M2" s="2"/>
      <c r="N2" s="2" t="s">
        <v>42</v>
      </c>
      <c r="O2" s="2"/>
      <c r="P2" s="2" t="s">
        <v>116</v>
      </c>
      <c r="Q2" s="2" t="s">
        <v>117</v>
      </c>
      <c r="R2" s="2" t="s">
        <v>35</v>
      </c>
      <c r="S2" s="2"/>
      <c r="T2" s="2" t="s">
        <v>36</v>
      </c>
      <c r="U2" s="2">
        <v>0.5</v>
      </c>
      <c r="V2" s="2" t="s">
        <v>37</v>
      </c>
      <c r="W2" s="2"/>
      <c r="X2" s="2" t="s">
        <v>349</v>
      </c>
      <c r="Y2" s="2" t="s">
        <v>39</v>
      </c>
      <c r="Z2" s="2">
        <v>1.04</v>
      </c>
      <c r="AA2" s="2">
        <v>1.018</v>
      </c>
      <c r="AB2" s="2">
        <v>1.063</v>
      </c>
    </row>
    <row r="3" spans="1:28">
      <c r="A3" s="2">
        <v>289</v>
      </c>
      <c r="B3" s="2">
        <v>6</v>
      </c>
      <c r="C3" s="2"/>
      <c r="D3" s="2">
        <v>2012</v>
      </c>
      <c r="E3" s="2"/>
      <c r="F3" s="2" t="s">
        <v>348</v>
      </c>
      <c r="G3" s="2" t="s">
        <v>115</v>
      </c>
      <c r="H3" s="2" t="s">
        <v>47</v>
      </c>
      <c r="I3" s="2" t="s">
        <v>30</v>
      </c>
      <c r="J3" s="2" t="s">
        <v>48</v>
      </c>
      <c r="K3" s="2" t="s">
        <v>32</v>
      </c>
      <c r="L3" s="2"/>
      <c r="M3" s="2"/>
      <c r="N3" s="2" t="s">
        <v>42</v>
      </c>
      <c r="O3" s="2"/>
      <c r="P3" s="2" t="s">
        <v>116</v>
      </c>
      <c r="Q3" s="2" t="s">
        <v>117</v>
      </c>
      <c r="R3" s="2" t="s">
        <v>35</v>
      </c>
      <c r="S3" s="2"/>
      <c r="T3" s="2" t="s">
        <v>36</v>
      </c>
      <c r="U3" s="2">
        <v>0.5</v>
      </c>
      <c r="V3" s="2" t="s">
        <v>37</v>
      </c>
      <c r="W3" s="2"/>
      <c r="X3" s="2" t="s">
        <v>349</v>
      </c>
      <c r="Y3" s="2" t="s">
        <v>39</v>
      </c>
      <c r="Z3" s="2">
        <v>1.034</v>
      </c>
      <c r="AA3" s="2">
        <v>1.019</v>
      </c>
      <c r="AB3" s="2">
        <v>1.05</v>
      </c>
    </row>
    <row r="4" spans="1:28">
      <c r="A4" s="2">
        <v>289</v>
      </c>
      <c r="B4" s="2">
        <v>8</v>
      </c>
      <c r="C4" s="2"/>
      <c r="D4" s="2">
        <v>2012</v>
      </c>
      <c r="E4" s="2"/>
      <c r="F4" s="2" t="s">
        <v>45</v>
      </c>
      <c r="G4" s="2" t="s">
        <v>115</v>
      </c>
      <c r="H4" s="2" t="s">
        <v>47</v>
      </c>
      <c r="I4" s="2" t="s">
        <v>30</v>
      </c>
      <c r="J4" s="2" t="s">
        <v>48</v>
      </c>
      <c r="K4" s="2" t="s">
        <v>32</v>
      </c>
      <c r="L4" s="2"/>
      <c r="M4" s="2"/>
      <c r="N4" s="2" t="s">
        <v>42</v>
      </c>
      <c r="O4" s="2"/>
      <c r="P4" s="2" t="s">
        <v>116</v>
      </c>
      <c r="Q4" s="2" t="s">
        <v>117</v>
      </c>
      <c r="R4" s="2" t="s">
        <v>35</v>
      </c>
      <c r="S4" s="2"/>
      <c r="T4" s="2" t="s">
        <v>36</v>
      </c>
      <c r="U4" s="2">
        <v>0.5</v>
      </c>
      <c r="V4" s="2" t="s">
        <v>37</v>
      </c>
      <c r="W4" s="2"/>
      <c r="X4" s="2" t="s">
        <v>349</v>
      </c>
      <c r="Y4" s="2" t="s">
        <v>39</v>
      </c>
      <c r="Z4" s="2">
        <v>0.991</v>
      </c>
      <c r="AA4" s="2">
        <v>0.94</v>
      </c>
      <c r="AB4" s="2">
        <v>1.045</v>
      </c>
    </row>
    <row r="5" spans="1:28">
      <c r="A5" s="2">
        <v>289</v>
      </c>
      <c r="B5" s="2">
        <v>9</v>
      </c>
      <c r="C5" s="2"/>
      <c r="D5" s="2">
        <v>2012</v>
      </c>
      <c r="E5" s="2"/>
      <c r="F5" s="2" t="s">
        <v>348</v>
      </c>
      <c r="G5" s="2" t="s">
        <v>115</v>
      </c>
      <c r="H5" s="2" t="s">
        <v>47</v>
      </c>
      <c r="I5" s="2" t="s">
        <v>30</v>
      </c>
      <c r="J5" s="2" t="s">
        <v>48</v>
      </c>
      <c r="K5" s="2" t="s">
        <v>32</v>
      </c>
      <c r="L5" s="2"/>
      <c r="M5" s="2"/>
      <c r="N5" s="2" t="s">
        <v>42</v>
      </c>
      <c r="O5" s="2"/>
      <c r="P5" s="2" t="s">
        <v>116</v>
      </c>
      <c r="Q5" s="2" t="s">
        <v>117</v>
      </c>
      <c r="R5" s="2" t="s">
        <v>35</v>
      </c>
      <c r="S5" s="2"/>
      <c r="T5" s="2" t="s">
        <v>36</v>
      </c>
      <c r="U5" s="2">
        <v>0.5</v>
      </c>
      <c r="V5" s="2" t="s">
        <v>37</v>
      </c>
      <c r="W5" s="2"/>
      <c r="X5" s="2" t="s">
        <v>349</v>
      </c>
      <c r="Y5" s="2" t="s">
        <v>39</v>
      </c>
      <c r="Z5" s="2">
        <v>1.03</v>
      </c>
      <c r="AA5" s="2">
        <v>0.981</v>
      </c>
      <c r="AB5" s="2">
        <v>1.081</v>
      </c>
    </row>
    <row r="6" spans="1:28">
      <c r="A6" s="2">
        <v>289</v>
      </c>
      <c r="B6" s="2">
        <v>11</v>
      </c>
      <c r="C6" s="2"/>
      <c r="D6" s="2">
        <v>2012</v>
      </c>
      <c r="E6" s="2"/>
      <c r="F6" s="2" t="s">
        <v>45</v>
      </c>
      <c r="G6" s="2" t="s">
        <v>115</v>
      </c>
      <c r="H6" s="2" t="s">
        <v>47</v>
      </c>
      <c r="I6" s="2" t="s">
        <v>30</v>
      </c>
      <c r="J6" s="2" t="s">
        <v>48</v>
      </c>
      <c r="K6" s="2" t="s">
        <v>32</v>
      </c>
      <c r="L6" s="2"/>
      <c r="M6" s="2"/>
      <c r="N6" s="2" t="s">
        <v>42</v>
      </c>
      <c r="O6" s="2"/>
      <c r="P6" s="2" t="s">
        <v>116</v>
      </c>
      <c r="Q6" s="2" t="s">
        <v>117</v>
      </c>
      <c r="R6" s="2" t="s">
        <v>35</v>
      </c>
      <c r="S6" s="2"/>
      <c r="T6" s="2" t="s">
        <v>36</v>
      </c>
      <c r="U6" s="2">
        <v>0.5</v>
      </c>
      <c r="V6" s="2" t="s">
        <v>37</v>
      </c>
      <c r="W6" s="2"/>
      <c r="X6" s="2" t="s">
        <v>349</v>
      </c>
      <c r="Y6" s="2" t="s">
        <v>39</v>
      </c>
      <c r="Z6" s="2">
        <v>1.032</v>
      </c>
      <c r="AA6" s="2">
        <v>0.954</v>
      </c>
      <c r="AB6" s="2">
        <v>1.116</v>
      </c>
    </row>
    <row r="7" spans="1:28">
      <c r="A7" s="2">
        <v>289</v>
      </c>
      <c r="B7" s="2">
        <v>12</v>
      </c>
      <c r="C7" s="2"/>
      <c r="D7" s="2">
        <v>2012</v>
      </c>
      <c r="E7" s="2"/>
      <c r="F7" s="2" t="s">
        <v>348</v>
      </c>
      <c r="G7" s="2" t="s">
        <v>115</v>
      </c>
      <c r="H7" s="2" t="s">
        <v>47</v>
      </c>
      <c r="I7" s="2" t="s">
        <v>30</v>
      </c>
      <c r="J7" s="2" t="s">
        <v>48</v>
      </c>
      <c r="K7" s="2" t="s">
        <v>32</v>
      </c>
      <c r="L7" s="2"/>
      <c r="M7" s="2"/>
      <c r="N7" s="2" t="s">
        <v>42</v>
      </c>
      <c r="O7" s="2"/>
      <c r="P7" s="2" t="s">
        <v>116</v>
      </c>
      <c r="Q7" s="2" t="s">
        <v>117</v>
      </c>
      <c r="R7" s="2" t="s">
        <v>35</v>
      </c>
      <c r="S7" s="2"/>
      <c r="T7" s="2" t="s">
        <v>36</v>
      </c>
      <c r="U7" s="2">
        <v>0.5</v>
      </c>
      <c r="V7" s="2" t="s">
        <v>37</v>
      </c>
      <c r="W7" s="2"/>
      <c r="X7" s="2" t="s">
        <v>349</v>
      </c>
      <c r="Y7" s="2" t="s">
        <v>39</v>
      </c>
      <c r="Z7" s="2">
        <v>1.052</v>
      </c>
      <c r="AA7" s="2">
        <v>0.955</v>
      </c>
      <c r="AB7" s="2">
        <v>1.158</v>
      </c>
    </row>
  </sheetData>
  <autoFilter xmlns:etc="http://www.wps.cn/officeDocument/2017/etCustomData" ref="A1:AB7" etc:filterBottomFollowUsedRange="0">
    <extLst/>
  </autoFilter>
  <pageMargins left="0.75" right="0.75" top="1" bottom="1" header="0.5" footer="0.5"/>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4"/>
  <sheetViews>
    <sheetView topLeftCell="H1" workbookViewId="0">
      <selection activeCell="AB1" sqref="AB$1:AB$1048576"/>
    </sheetView>
  </sheetViews>
  <sheetFormatPr defaultColWidth="9.02654867256637" defaultRowHeight="13.85"/>
  <cols>
    <col min="1" max="28" width="9.02654867256637" style="2"/>
    <col min="29" max="16384" width="9.02654867256637" style="3"/>
  </cols>
  <sheetData>
    <row r="1" ht="13.9" spans="1:28">
      <c r="A1" s="2" t="s">
        <v>0</v>
      </c>
      <c r="B1" s="2" t="s">
        <v>1</v>
      </c>
      <c r="C1" s="2" t="s">
        <v>2</v>
      </c>
      <c r="D1" s="2" t="s">
        <v>3</v>
      </c>
      <c r="E1" s="2" t="s">
        <v>4</v>
      </c>
      <c r="F1" s="2" t="s">
        <v>5</v>
      </c>
      <c r="G1" s="2" t="s">
        <v>6</v>
      </c>
      <c r="H1" s="2" t="s">
        <v>6</v>
      </c>
      <c r="I1" s="2" t="s">
        <v>7</v>
      </c>
      <c r="J1" s="2" t="s">
        <v>8</v>
      </c>
      <c r="K1" s="2" t="s">
        <v>9</v>
      </c>
      <c r="L1" s="2" t="s">
        <v>10</v>
      </c>
      <c r="M1" s="2" t="s">
        <v>11</v>
      </c>
      <c r="N1" s="2" t="s">
        <v>205</v>
      </c>
      <c r="O1" s="2" t="s">
        <v>13</v>
      </c>
      <c r="P1" s="2" t="s">
        <v>14</v>
      </c>
      <c r="Q1" s="2" t="s">
        <v>15</v>
      </c>
      <c r="R1" s="2" t="s">
        <v>16</v>
      </c>
      <c r="S1" s="2" t="s">
        <v>17</v>
      </c>
      <c r="T1" s="2" t="s">
        <v>18</v>
      </c>
      <c r="U1" s="15" t="s">
        <v>19</v>
      </c>
      <c r="V1" s="2" t="s">
        <v>20</v>
      </c>
      <c r="W1" s="2" t="s">
        <v>21</v>
      </c>
      <c r="X1" s="2"/>
      <c r="Y1" s="2" t="s">
        <v>22</v>
      </c>
      <c r="Z1" s="2" t="s">
        <v>23</v>
      </c>
      <c r="AA1" s="2" t="s">
        <v>24</v>
      </c>
      <c r="AB1" s="2" t="s">
        <v>25</v>
      </c>
    </row>
    <row r="2" spans="1:28">
      <c r="A2" s="2">
        <v>276</v>
      </c>
      <c r="B2" s="2">
        <v>1</v>
      </c>
      <c r="C2" s="2" t="s">
        <v>350</v>
      </c>
      <c r="D2" s="2">
        <v>2023</v>
      </c>
      <c r="E2" s="2"/>
      <c r="F2" s="2" t="s">
        <v>28</v>
      </c>
      <c r="G2" s="2" t="s">
        <v>351</v>
      </c>
      <c r="H2" s="2" t="s">
        <v>351</v>
      </c>
      <c r="I2" s="2" t="s">
        <v>102</v>
      </c>
      <c r="J2" s="2" t="s">
        <v>122</v>
      </c>
      <c r="K2" s="2" t="s">
        <v>32</v>
      </c>
      <c r="L2" s="2"/>
      <c r="M2" s="2">
        <v>0.487</v>
      </c>
      <c r="N2" s="2" t="s">
        <v>170</v>
      </c>
      <c r="O2" s="2"/>
      <c r="P2" s="2" t="s">
        <v>81</v>
      </c>
      <c r="Q2" s="2" t="s">
        <v>352</v>
      </c>
      <c r="R2" s="2" t="s">
        <v>35</v>
      </c>
      <c r="S2" s="2"/>
      <c r="T2" s="2" t="s">
        <v>353</v>
      </c>
      <c r="U2" s="2">
        <v>10.5</v>
      </c>
      <c r="V2" s="2" t="s">
        <v>37</v>
      </c>
      <c r="W2" s="2" t="s">
        <v>354</v>
      </c>
      <c r="X2" s="2" t="s">
        <v>355</v>
      </c>
      <c r="Y2" s="2" t="s">
        <v>85</v>
      </c>
      <c r="Z2" s="2">
        <v>0.97</v>
      </c>
      <c r="AA2" s="2">
        <v>0.95</v>
      </c>
      <c r="AB2" s="2">
        <v>0.99</v>
      </c>
    </row>
    <row r="3" spans="1:28">
      <c r="A3" s="2">
        <v>396</v>
      </c>
      <c r="B3" s="2">
        <v>1</v>
      </c>
      <c r="C3" s="2" t="s">
        <v>356</v>
      </c>
      <c r="D3" s="2">
        <v>2021</v>
      </c>
      <c r="E3" s="2" t="s">
        <v>357</v>
      </c>
      <c r="F3" s="2" t="s">
        <v>28</v>
      </c>
      <c r="G3" s="2" t="s">
        <v>160</v>
      </c>
      <c r="H3" s="2" t="s">
        <v>160</v>
      </c>
      <c r="I3" s="2" t="s">
        <v>102</v>
      </c>
      <c r="J3" s="2" t="s">
        <v>161</v>
      </c>
      <c r="K3" s="2" t="s">
        <v>111</v>
      </c>
      <c r="L3" s="2" t="s">
        <v>358</v>
      </c>
      <c r="M3" s="2" t="s">
        <v>156</v>
      </c>
      <c r="N3" s="2" t="s">
        <v>207</v>
      </c>
      <c r="O3" s="2"/>
      <c r="P3" s="2" t="s">
        <v>359</v>
      </c>
      <c r="Q3" s="2" t="s">
        <v>360</v>
      </c>
      <c r="R3" s="2" t="s">
        <v>35</v>
      </c>
      <c r="S3" s="2"/>
      <c r="T3" s="2"/>
      <c r="U3" s="2"/>
      <c r="V3" s="2"/>
      <c r="W3" s="2" t="s">
        <v>354</v>
      </c>
      <c r="X3" s="2" t="s">
        <v>355</v>
      </c>
      <c r="Y3" s="2" t="s">
        <v>361</v>
      </c>
      <c r="Z3" s="2">
        <v>1.06</v>
      </c>
      <c r="AA3" s="2">
        <v>1</v>
      </c>
      <c r="AB3" s="2">
        <v>1.12</v>
      </c>
    </row>
    <row r="4" spans="1:28">
      <c r="A4" s="2">
        <v>882</v>
      </c>
      <c r="B4" s="2">
        <v>1</v>
      </c>
      <c r="C4" s="2" t="s">
        <v>362</v>
      </c>
      <c r="D4" s="2">
        <v>2020</v>
      </c>
      <c r="E4" s="2"/>
      <c r="F4" s="2" t="s">
        <v>54</v>
      </c>
      <c r="G4" s="2" t="s">
        <v>363</v>
      </c>
      <c r="H4" s="2" t="s">
        <v>363</v>
      </c>
      <c r="I4" s="2" t="s">
        <v>102</v>
      </c>
      <c r="J4" s="2" t="s">
        <v>31</v>
      </c>
      <c r="K4" s="2" t="s">
        <v>32</v>
      </c>
      <c r="L4" s="2">
        <v>15123</v>
      </c>
      <c r="M4" s="2">
        <v>0.54</v>
      </c>
      <c r="N4" s="2" t="s">
        <v>170</v>
      </c>
      <c r="O4" s="2"/>
      <c r="P4" s="2" t="s">
        <v>364</v>
      </c>
      <c r="Q4" s="2" t="s">
        <v>365</v>
      </c>
      <c r="R4" s="2" t="s">
        <v>35</v>
      </c>
      <c r="S4" s="2"/>
      <c r="T4" s="2">
        <v>6</v>
      </c>
      <c r="U4" s="2">
        <v>3</v>
      </c>
      <c r="V4" s="2" t="s">
        <v>37</v>
      </c>
      <c r="W4" s="2" t="s">
        <v>366</v>
      </c>
      <c r="X4" s="2" t="s">
        <v>367</v>
      </c>
      <c r="Y4" s="2" t="s">
        <v>85</v>
      </c>
      <c r="Z4" s="2">
        <v>1.07</v>
      </c>
      <c r="AA4" s="2">
        <v>0.99</v>
      </c>
      <c r="AB4" s="2">
        <v>1.15</v>
      </c>
    </row>
    <row r="5" spans="1:28">
      <c r="A5" s="2">
        <v>882</v>
      </c>
      <c r="B5" s="2">
        <v>2</v>
      </c>
      <c r="C5" s="2"/>
      <c r="D5" s="2">
        <v>2020</v>
      </c>
      <c r="E5" s="2"/>
      <c r="F5" s="2" t="s">
        <v>54</v>
      </c>
      <c r="G5" s="2" t="s">
        <v>363</v>
      </c>
      <c r="H5" s="2" t="s">
        <v>363</v>
      </c>
      <c r="I5" s="2" t="s">
        <v>102</v>
      </c>
      <c r="J5" s="2" t="s">
        <v>31</v>
      </c>
      <c r="K5" s="2" t="s">
        <v>32</v>
      </c>
      <c r="L5" s="2"/>
      <c r="M5" s="2">
        <v>0.54</v>
      </c>
      <c r="N5" s="2" t="s">
        <v>170</v>
      </c>
      <c r="O5" s="2"/>
      <c r="P5" s="2"/>
      <c r="Q5" s="2" t="s">
        <v>365</v>
      </c>
      <c r="R5" s="2" t="s">
        <v>35</v>
      </c>
      <c r="S5" s="2"/>
      <c r="T5" s="2">
        <v>6</v>
      </c>
      <c r="U5" s="2">
        <v>3</v>
      </c>
      <c r="V5" s="2" t="s">
        <v>37</v>
      </c>
      <c r="W5" s="2" t="s">
        <v>368</v>
      </c>
      <c r="X5" s="2" t="s">
        <v>367</v>
      </c>
      <c r="Y5" s="2" t="s">
        <v>85</v>
      </c>
      <c r="Z5" s="2">
        <v>1.11</v>
      </c>
      <c r="AA5" s="2">
        <v>1.08</v>
      </c>
      <c r="AB5" s="2">
        <v>1.13</v>
      </c>
    </row>
    <row r="6" spans="1:28">
      <c r="A6" s="2">
        <v>886</v>
      </c>
      <c r="B6" s="2">
        <v>1</v>
      </c>
      <c r="C6" s="2" t="s">
        <v>369</v>
      </c>
      <c r="D6" s="2">
        <v>2017</v>
      </c>
      <c r="E6" s="2"/>
      <c r="F6" s="2" t="s">
        <v>45</v>
      </c>
      <c r="G6" s="2" t="s">
        <v>363</v>
      </c>
      <c r="H6" s="2" t="s">
        <v>363</v>
      </c>
      <c r="I6" s="2" t="s">
        <v>102</v>
      </c>
      <c r="J6" s="2" t="s">
        <v>31</v>
      </c>
      <c r="K6" s="2" t="s">
        <v>32</v>
      </c>
      <c r="L6" s="2">
        <v>454</v>
      </c>
      <c r="M6" s="2">
        <v>0.42</v>
      </c>
      <c r="N6" s="2" t="s">
        <v>170</v>
      </c>
      <c r="O6" s="2"/>
      <c r="P6" s="2" t="s">
        <v>370</v>
      </c>
      <c r="Q6" s="2" t="s">
        <v>371</v>
      </c>
      <c r="R6" s="2" t="s">
        <v>35</v>
      </c>
      <c r="S6" s="2"/>
      <c r="T6" s="2"/>
      <c r="U6" s="2"/>
      <c r="V6" s="2"/>
      <c r="W6" s="2" t="s">
        <v>372</v>
      </c>
      <c r="X6" s="2" t="s">
        <v>367</v>
      </c>
      <c r="Y6" s="2" t="s">
        <v>373</v>
      </c>
      <c r="Z6" s="2">
        <v>1.379</v>
      </c>
      <c r="AA6" s="2">
        <v>0.829</v>
      </c>
      <c r="AB6" s="2">
        <v>2.293</v>
      </c>
    </row>
    <row r="7" spans="1:28">
      <c r="A7" s="2">
        <v>886</v>
      </c>
      <c r="B7" s="2">
        <v>2</v>
      </c>
      <c r="C7" s="2"/>
      <c r="D7" s="2">
        <v>2017</v>
      </c>
      <c r="E7" s="2"/>
      <c r="F7" s="2" t="s">
        <v>54</v>
      </c>
      <c r="G7" s="2" t="s">
        <v>363</v>
      </c>
      <c r="H7" s="2" t="s">
        <v>363</v>
      </c>
      <c r="I7" s="2" t="s">
        <v>102</v>
      </c>
      <c r="J7" s="2" t="s">
        <v>31</v>
      </c>
      <c r="K7" s="2" t="s">
        <v>32</v>
      </c>
      <c r="L7" s="2"/>
      <c r="M7" s="2">
        <v>0.42</v>
      </c>
      <c r="N7" s="2" t="s">
        <v>170</v>
      </c>
      <c r="O7" s="2"/>
      <c r="P7" s="2"/>
      <c r="Q7" s="2" t="s">
        <v>371</v>
      </c>
      <c r="R7" s="2" t="s">
        <v>35</v>
      </c>
      <c r="S7" s="2"/>
      <c r="T7" s="2"/>
      <c r="U7" s="2"/>
      <c r="V7" s="2"/>
      <c r="W7" s="2" t="s">
        <v>372</v>
      </c>
      <c r="X7" s="2" t="s">
        <v>367</v>
      </c>
      <c r="Y7" s="2" t="s">
        <v>373</v>
      </c>
      <c r="Z7" s="2">
        <v>1.01</v>
      </c>
      <c r="AA7" s="2">
        <v>0.706</v>
      </c>
      <c r="AB7" s="2">
        <v>1.446</v>
      </c>
    </row>
    <row r="8" s="12" customFormat="1" spans="1:28">
      <c r="A8" s="2">
        <v>276</v>
      </c>
      <c r="B8" s="2">
        <v>2</v>
      </c>
      <c r="C8" s="2" t="s">
        <v>350</v>
      </c>
      <c r="D8" s="2">
        <v>2023</v>
      </c>
      <c r="E8" s="2"/>
      <c r="F8" s="2" t="s">
        <v>28</v>
      </c>
      <c r="G8" s="2" t="s">
        <v>351</v>
      </c>
      <c r="H8" s="2" t="s">
        <v>351</v>
      </c>
      <c r="I8" s="2" t="s">
        <v>102</v>
      </c>
      <c r="J8" s="2" t="s">
        <v>122</v>
      </c>
      <c r="K8" s="2" t="s">
        <v>32</v>
      </c>
      <c r="L8" s="2"/>
      <c r="M8" s="2">
        <v>0.487</v>
      </c>
      <c r="N8" s="2" t="s">
        <v>170</v>
      </c>
      <c r="O8" s="2"/>
      <c r="P8" s="2" t="s">
        <v>81</v>
      </c>
      <c r="Q8" s="2" t="s">
        <v>352</v>
      </c>
      <c r="R8" s="2" t="s">
        <v>35</v>
      </c>
      <c r="S8" s="2"/>
      <c r="T8" s="2" t="s">
        <v>353</v>
      </c>
      <c r="U8" s="2">
        <v>10.5</v>
      </c>
      <c r="V8" s="2" t="s">
        <v>37</v>
      </c>
      <c r="W8" s="2" t="s">
        <v>374</v>
      </c>
      <c r="X8" s="2" t="s">
        <v>355</v>
      </c>
      <c r="Y8" s="2" t="s">
        <v>85</v>
      </c>
      <c r="Z8" s="2">
        <v>0.96</v>
      </c>
      <c r="AA8" s="2">
        <v>0.91</v>
      </c>
      <c r="AB8" s="2">
        <v>1.01</v>
      </c>
    </row>
    <row r="9" spans="1:28">
      <c r="A9" s="2">
        <v>276</v>
      </c>
      <c r="B9" s="2">
        <v>3</v>
      </c>
      <c r="C9" s="2" t="s">
        <v>350</v>
      </c>
      <c r="D9" s="2">
        <v>2023</v>
      </c>
      <c r="E9" s="2"/>
      <c r="F9" s="2" t="s">
        <v>28</v>
      </c>
      <c r="G9" s="2" t="s">
        <v>351</v>
      </c>
      <c r="H9" s="2" t="s">
        <v>351</v>
      </c>
      <c r="I9" s="2" t="s">
        <v>102</v>
      </c>
      <c r="J9" s="2" t="s">
        <v>122</v>
      </c>
      <c r="K9" s="2" t="s">
        <v>32</v>
      </c>
      <c r="L9" s="2"/>
      <c r="M9" s="2">
        <v>0.487</v>
      </c>
      <c r="N9" s="2" t="s">
        <v>170</v>
      </c>
      <c r="O9" s="2"/>
      <c r="P9" s="2" t="s">
        <v>81</v>
      </c>
      <c r="Q9" s="2" t="s">
        <v>352</v>
      </c>
      <c r="R9" s="2" t="s">
        <v>35</v>
      </c>
      <c r="S9" s="2"/>
      <c r="T9" s="2" t="s">
        <v>353</v>
      </c>
      <c r="U9" s="2">
        <v>10.5</v>
      </c>
      <c r="V9" s="2" t="s">
        <v>37</v>
      </c>
      <c r="W9" s="2" t="s">
        <v>375</v>
      </c>
      <c r="X9" s="2" t="s">
        <v>355</v>
      </c>
      <c r="Y9" s="2" t="s">
        <v>85</v>
      </c>
      <c r="Z9" s="2">
        <v>0.97</v>
      </c>
      <c r="AA9" s="2">
        <v>0.91</v>
      </c>
      <c r="AB9" s="2">
        <v>1.03</v>
      </c>
    </row>
    <row r="10" spans="1:28">
      <c r="A10" s="2">
        <v>276</v>
      </c>
      <c r="B10" s="2">
        <v>4</v>
      </c>
      <c r="C10" s="2" t="s">
        <v>350</v>
      </c>
      <c r="D10" s="2">
        <v>2023</v>
      </c>
      <c r="E10" s="2"/>
      <c r="F10" s="2" t="s">
        <v>28</v>
      </c>
      <c r="G10" s="2" t="s">
        <v>351</v>
      </c>
      <c r="H10" s="2" t="s">
        <v>351</v>
      </c>
      <c r="I10" s="2" t="s">
        <v>102</v>
      </c>
      <c r="J10" s="2" t="s">
        <v>122</v>
      </c>
      <c r="K10" s="2" t="s">
        <v>32</v>
      </c>
      <c r="L10" s="2"/>
      <c r="M10" s="2">
        <v>0.487</v>
      </c>
      <c r="N10" s="2" t="s">
        <v>170</v>
      </c>
      <c r="O10" s="2"/>
      <c r="P10" s="2" t="s">
        <v>81</v>
      </c>
      <c r="Q10" s="2" t="s">
        <v>352</v>
      </c>
      <c r="R10" s="2" t="s">
        <v>35</v>
      </c>
      <c r="S10" s="2"/>
      <c r="T10" s="2" t="s">
        <v>353</v>
      </c>
      <c r="U10" s="2">
        <v>10.5</v>
      </c>
      <c r="V10" s="2" t="s">
        <v>37</v>
      </c>
      <c r="W10" s="2" t="s">
        <v>376</v>
      </c>
      <c r="X10" s="2" t="s">
        <v>355</v>
      </c>
      <c r="Y10" s="2" t="s">
        <v>85</v>
      </c>
      <c r="Z10" s="2">
        <v>1.02</v>
      </c>
      <c r="AA10" s="2">
        <v>0.94</v>
      </c>
      <c r="AB10" s="2">
        <v>1.11</v>
      </c>
    </row>
    <row r="11" spans="1:28">
      <c r="A11" s="2">
        <v>276</v>
      </c>
      <c r="B11" s="2">
        <v>5</v>
      </c>
      <c r="C11" s="2" t="s">
        <v>350</v>
      </c>
      <c r="D11" s="2">
        <v>2023</v>
      </c>
      <c r="E11" s="2"/>
      <c r="F11" s="2" t="s">
        <v>28</v>
      </c>
      <c r="G11" s="2" t="s">
        <v>351</v>
      </c>
      <c r="H11" s="2" t="s">
        <v>351</v>
      </c>
      <c r="I11" s="2" t="s">
        <v>102</v>
      </c>
      <c r="J11" s="2" t="s">
        <v>122</v>
      </c>
      <c r="K11" s="2" t="s">
        <v>32</v>
      </c>
      <c r="L11" s="2"/>
      <c r="M11" s="2">
        <v>0.487</v>
      </c>
      <c r="N11" s="2" t="s">
        <v>170</v>
      </c>
      <c r="O11" s="2"/>
      <c r="P11" s="2" t="s">
        <v>81</v>
      </c>
      <c r="Q11" s="2" t="s">
        <v>352</v>
      </c>
      <c r="R11" s="2" t="s">
        <v>35</v>
      </c>
      <c r="S11" s="2"/>
      <c r="T11" s="2" t="s">
        <v>353</v>
      </c>
      <c r="U11" s="2">
        <v>10.5</v>
      </c>
      <c r="V11" s="2" t="s">
        <v>37</v>
      </c>
      <c r="W11" s="2" t="s">
        <v>377</v>
      </c>
      <c r="X11" s="2" t="s">
        <v>355</v>
      </c>
      <c r="Y11" s="2" t="s">
        <v>85</v>
      </c>
      <c r="Z11" s="2">
        <v>0.98</v>
      </c>
      <c r="AA11" s="2">
        <v>0.95</v>
      </c>
      <c r="AB11" s="2">
        <v>1.01</v>
      </c>
    </row>
    <row r="12" spans="1:28">
      <c r="A12" s="2">
        <v>276</v>
      </c>
      <c r="B12" s="2">
        <v>6</v>
      </c>
      <c r="C12" s="2" t="s">
        <v>350</v>
      </c>
      <c r="D12" s="2">
        <v>2023</v>
      </c>
      <c r="E12" s="2"/>
      <c r="F12" s="2" t="s">
        <v>28</v>
      </c>
      <c r="G12" s="2" t="s">
        <v>351</v>
      </c>
      <c r="H12" s="2" t="s">
        <v>351</v>
      </c>
      <c r="I12" s="2" t="s">
        <v>102</v>
      </c>
      <c r="J12" s="2" t="s">
        <v>122</v>
      </c>
      <c r="K12" s="2" t="s">
        <v>32</v>
      </c>
      <c r="L12" s="2"/>
      <c r="M12" s="2">
        <v>0.487</v>
      </c>
      <c r="N12" s="2" t="s">
        <v>170</v>
      </c>
      <c r="O12" s="2"/>
      <c r="P12" s="2" t="s">
        <v>81</v>
      </c>
      <c r="Q12" s="2" t="s">
        <v>352</v>
      </c>
      <c r="R12" s="2" t="s">
        <v>35</v>
      </c>
      <c r="S12" s="2"/>
      <c r="T12" s="2" t="s">
        <v>353</v>
      </c>
      <c r="U12" s="2">
        <v>10.5</v>
      </c>
      <c r="V12" s="2" t="s">
        <v>37</v>
      </c>
      <c r="W12" s="2" t="s">
        <v>378</v>
      </c>
      <c r="X12" s="2" t="s">
        <v>355</v>
      </c>
      <c r="Y12" s="2" t="s">
        <v>85</v>
      </c>
      <c r="Z12" s="2">
        <v>0.95</v>
      </c>
      <c r="AA12" s="2">
        <v>0.89</v>
      </c>
      <c r="AB12" s="2">
        <v>1.01</v>
      </c>
    </row>
    <row r="13" spans="1:28">
      <c r="A13" s="2">
        <v>276</v>
      </c>
      <c r="B13" s="2">
        <v>7</v>
      </c>
      <c r="C13" s="2" t="s">
        <v>350</v>
      </c>
      <c r="D13" s="2">
        <v>2023</v>
      </c>
      <c r="E13" s="2"/>
      <c r="F13" s="2" t="s">
        <v>28</v>
      </c>
      <c r="G13" s="2" t="s">
        <v>351</v>
      </c>
      <c r="H13" s="2" t="s">
        <v>351</v>
      </c>
      <c r="I13" s="2" t="s">
        <v>102</v>
      </c>
      <c r="J13" s="2" t="s">
        <v>122</v>
      </c>
      <c r="K13" s="2" t="s">
        <v>32</v>
      </c>
      <c r="L13" s="2"/>
      <c r="M13" s="2">
        <v>0.487</v>
      </c>
      <c r="N13" s="2" t="s">
        <v>170</v>
      </c>
      <c r="O13" s="2"/>
      <c r="P13" s="2" t="s">
        <v>81</v>
      </c>
      <c r="Q13" s="2" t="s">
        <v>352</v>
      </c>
      <c r="R13" s="2" t="s">
        <v>35</v>
      </c>
      <c r="S13" s="2"/>
      <c r="T13" s="2" t="s">
        <v>353</v>
      </c>
      <c r="U13" s="2">
        <v>10.5</v>
      </c>
      <c r="V13" s="2" t="s">
        <v>37</v>
      </c>
      <c r="W13" s="2" t="s">
        <v>379</v>
      </c>
      <c r="X13" s="2" t="s">
        <v>355</v>
      </c>
      <c r="Y13" s="2" t="s">
        <v>85</v>
      </c>
      <c r="Z13" s="2">
        <v>1.02</v>
      </c>
      <c r="AA13" s="2">
        <v>0.97</v>
      </c>
      <c r="AB13" s="2">
        <v>1.06</v>
      </c>
    </row>
    <row r="14" spans="1:28">
      <c r="A14" s="2">
        <v>276</v>
      </c>
      <c r="B14" s="2">
        <v>8</v>
      </c>
      <c r="C14" s="2" t="s">
        <v>350</v>
      </c>
      <c r="D14" s="2">
        <v>2023</v>
      </c>
      <c r="E14" s="2"/>
      <c r="F14" s="2" t="s">
        <v>28</v>
      </c>
      <c r="G14" s="2" t="s">
        <v>351</v>
      </c>
      <c r="H14" s="2" t="s">
        <v>351</v>
      </c>
      <c r="I14" s="2" t="s">
        <v>102</v>
      </c>
      <c r="J14" s="2" t="s">
        <v>122</v>
      </c>
      <c r="K14" s="2" t="s">
        <v>32</v>
      </c>
      <c r="L14" s="2"/>
      <c r="M14" s="2">
        <v>0.487</v>
      </c>
      <c r="N14" s="2" t="s">
        <v>170</v>
      </c>
      <c r="O14" s="2"/>
      <c r="P14" s="2" t="s">
        <v>81</v>
      </c>
      <c r="Q14" s="2" t="s">
        <v>352</v>
      </c>
      <c r="R14" s="2" t="s">
        <v>35</v>
      </c>
      <c r="S14" s="2"/>
      <c r="T14" s="2" t="s">
        <v>353</v>
      </c>
      <c r="U14" s="2">
        <v>10.5</v>
      </c>
      <c r="V14" s="2" t="s">
        <v>37</v>
      </c>
      <c r="W14" s="2" t="s">
        <v>380</v>
      </c>
      <c r="X14" s="2" t="s">
        <v>355</v>
      </c>
      <c r="Y14" s="2" t="s">
        <v>85</v>
      </c>
      <c r="Z14" s="2">
        <v>0.93</v>
      </c>
      <c r="AA14" s="2">
        <v>0.84</v>
      </c>
      <c r="AB14" s="2">
        <v>1.03</v>
      </c>
    </row>
  </sheetData>
  <autoFilter xmlns:etc="http://www.wps.cn/officeDocument/2017/etCustomData" ref="A1:AB14" etc:filterBottomFollowUsedRange="0">
    <extLst/>
  </autoFilter>
  <pageMargins left="0.75" right="0.75" top="1" bottom="1" header="0.5" footer="0.5"/>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5"/>
  <sheetViews>
    <sheetView workbookViewId="0">
      <selection activeCell="K21" sqref="K21"/>
    </sheetView>
  </sheetViews>
  <sheetFormatPr defaultColWidth="9.02654867256637" defaultRowHeight="13.85" outlineLevelRow="4"/>
  <cols>
    <col min="1" max="30" width="9.02654867256637" style="2"/>
    <col min="31" max="16384" width="9.02654867256637" style="3"/>
  </cols>
  <sheetData>
    <row r="1" ht="13.9" spans="1:28">
      <c r="A1" s="2" t="s">
        <v>0</v>
      </c>
      <c r="B1" s="2" t="s">
        <v>1</v>
      </c>
      <c r="C1" s="2" t="s">
        <v>2</v>
      </c>
      <c r="D1" s="2" t="s">
        <v>3</v>
      </c>
      <c r="E1" s="2" t="s">
        <v>4</v>
      </c>
      <c r="F1" s="2" t="s">
        <v>5</v>
      </c>
      <c r="G1" s="2" t="s">
        <v>6</v>
      </c>
      <c r="H1" s="2" t="s">
        <v>6</v>
      </c>
      <c r="I1" s="2" t="s">
        <v>7</v>
      </c>
      <c r="J1" s="2" t="s">
        <v>8</v>
      </c>
      <c r="K1" s="2" t="s">
        <v>9</v>
      </c>
      <c r="L1" s="2" t="s">
        <v>10</v>
      </c>
      <c r="M1" s="2" t="s">
        <v>11</v>
      </c>
      <c r="N1" s="2" t="s">
        <v>205</v>
      </c>
      <c r="O1" s="2" t="s">
        <v>13</v>
      </c>
      <c r="P1" s="2" t="s">
        <v>14</v>
      </c>
      <c r="Q1" s="2" t="s">
        <v>15</v>
      </c>
      <c r="R1" s="2" t="s">
        <v>16</v>
      </c>
      <c r="S1" s="2" t="s">
        <v>17</v>
      </c>
      <c r="T1" s="2" t="s">
        <v>18</v>
      </c>
      <c r="U1" s="15" t="s">
        <v>19</v>
      </c>
      <c r="V1" s="2" t="s">
        <v>20</v>
      </c>
      <c r="W1" s="2" t="s">
        <v>21</v>
      </c>
      <c r="X1" s="2"/>
      <c r="Y1" s="2" t="s">
        <v>22</v>
      </c>
      <c r="Z1" s="2" t="s">
        <v>23</v>
      </c>
      <c r="AA1" s="2" t="s">
        <v>24</v>
      </c>
      <c r="AB1" s="2" t="s">
        <v>25</v>
      </c>
    </row>
    <row r="2" spans="1:28">
      <c r="A2" s="2">
        <v>289</v>
      </c>
      <c r="B2" s="2">
        <v>2</v>
      </c>
      <c r="C2" s="2"/>
      <c r="D2" s="2">
        <v>2012</v>
      </c>
      <c r="E2" s="2"/>
      <c r="F2" s="2" t="s">
        <v>45</v>
      </c>
      <c r="G2" s="2" t="s">
        <v>115</v>
      </c>
      <c r="H2" s="2" t="s">
        <v>47</v>
      </c>
      <c r="I2" s="2" t="s">
        <v>30</v>
      </c>
      <c r="J2" s="2" t="s">
        <v>48</v>
      </c>
      <c r="K2" s="2" t="s">
        <v>32</v>
      </c>
      <c r="L2" s="2"/>
      <c r="M2" s="2"/>
      <c r="N2" s="2" t="s">
        <v>42</v>
      </c>
      <c r="O2" s="2"/>
      <c r="P2" s="2" t="s">
        <v>116</v>
      </c>
      <c r="Q2" s="2" t="s">
        <v>117</v>
      </c>
      <c r="R2" s="2" t="s">
        <v>35</v>
      </c>
      <c r="S2" s="2"/>
      <c r="T2" s="2" t="s">
        <v>36</v>
      </c>
      <c r="U2" s="2">
        <v>0.5</v>
      </c>
      <c r="V2" s="2" t="s">
        <v>37</v>
      </c>
      <c r="W2" s="2"/>
      <c r="X2" s="2" t="s">
        <v>381</v>
      </c>
      <c r="Y2" s="2" t="s">
        <v>39</v>
      </c>
      <c r="Z2" s="2">
        <v>1.055</v>
      </c>
      <c r="AA2" s="2">
        <v>1.026</v>
      </c>
      <c r="AB2" s="2">
        <v>1.084</v>
      </c>
    </row>
    <row r="3" spans="1:28">
      <c r="A3" s="2">
        <v>289</v>
      </c>
      <c r="B3" s="2">
        <v>3</v>
      </c>
      <c r="C3" s="2"/>
      <c r="D3" s="2">
        <v>2012</v>
      </c>
      <c r="E3" s="2"/>
      <c r="F3" s="2" t="s">
        <v>348</v>
      </c>
      <c r="G3" s="2" t="s">
        <v>115</v>
      </c>
      <c r="H3" s="2" t="s">
        <v>47</v>
      </c>
      <c r="I3" s="2" t="s">
        <v>30</v>
      </c>
      <c r="J3" s="2" t="s">
        <v>48</v>
      </c>
      <c r="K3" s="2" t="s">
        <v>32</v>
      </c>
      <c r="L3" s="2"/>
      <c r="M3" s="2"/>
      <c r="N3" s="2" t="s">
        <v>42</v>
      </c>
      <c r="O3" s="2"/>
      <c r="P3" s="2" t="s">
        <v>116</v>
      </c>
      <c r="Q3" s="2" t="s">
        <v>117</v>
      </c>
      <c r="R3" s="2" t="s">
        <v>35</v>
      </c>
      <c r="S3" s="2"/>
      <c r="T3" s="2" t="s">
        <v>36</v>
      </c>
      <c r="U3" s="2">
        <v>0.5</v>
      </c>
      <c r="V3" s="2" t="s">
        <v>37</v>
      </c>
      <c r="W3" s="2"/>
      <c r="X3" s="2" t="s">
        <v>381</v>
      </c>
      <c r="Y3" s="2" t="s">
        <v>39</v>
      </c>
      <c r="Z3" s="2">
        <v>1.05</v>
      </c>
      <c r="AA3" s="2">
        <v>1.013</v>
      </c>
      <c r="AB3" s="2">
        <v>1.089</v>
      </c>
    </row>
    <row r="4" spans="1:28">
      <c r="A4" s="2">
        <v>289</v>
      </c>
      <c r="B4" s="2">
        <v>5</v>
      </c>
      <c r="C4" s="2"/>
      <c r="D4" s="2">
        <v>2012</v>
      </c>
      <c r="E4" s="2"/>
      <c r="F4" s="2" t="s">
        <v>45</v>
      </c>
      <c r="G4" s="2" t="s">
        <v>115</v>
      </c>
      <c r="H4" s="2" t="s">
        <v>47</v>
      </c>
      <c r="I4" s="2" t="s">
        <v>30</v>
      </c>
      <c r="J4" s="2" t="s">
        <v>48</v>
      </c>
      <c r="K4" s="2" t="s">
        <v>32</v>
      </c>
      <c r="L4" s="2"/>
      <c r="M4" s="2"/>
      <c r="N4" s="2" t="s">
        <v>42</v>
      </c>
      <c r="O4" s="2"/>
      <c r="P4" s="2" t="s">
        <v>116</v>
      </c>
      <c r="Q4" s="2" t="s">
        <v>117</v>
      </c>
      <c r="R4" s="2" t="s">
        <v>35</v>
      </c>
      <c r="S4" s="2"/>
      <c r="T4" s="2" t="s">
        <v>36</v>
      </c>
      <c r="U4" s="2">
        <v>0.5</v>
      </c>
      <c r="V4" s="2" t="s">
        <v>37</v>
      </c>
      <c r="W4" s="2"/>
      <c r="X4" s="2" t="s">
        <v>381</v>
      </c>
      <c r="Y4" s="2" t="s">
        <v>39</v>
      </c>
      <c r="Z4" s="2">
        <v>1.028</v>
      </c>
      <c r="AA4" s="2">
        <v>1.004</v>
      </c>
      <c r="AB4" s="2">
        <v>1.053</v>
      </c>
    </row>
    <row r="5" spans="1:28">
      <c r="A5" s="2">
        <v>289</v>
      </c>
      <c r="B5" s="2">
        <v>6</v>
      </c>
      <c r="C5" s="2"/>
      <c r="D5" s="2">
        <v>2012</v>
      </c>
      <c r="E5" s="2"/>
      <c r="F5" s="2" t="s">
        <v>348</v>
      </c>
      <c r="G5" s="2" t="s">
        <v>115</v>
      </c>
      <c r="H5" s="2" t="s">
        <v>47</v>
      </c>
      <c r="I5" s="2" t="s">
        <v>30</v>
      </c>
      <c r="J5" s="2" t="s">
        <v>48</v>
      </c>
      <c r="K5" s="2" t="s">
        <v>32</v>
      </c>
      <c r="L5" s="2"/>
      <c r="M5" s="2"/>
      <c r="N5" s="2" t="s">
        <v>42</v>
      </c>
      <c r="O5" s="2"/>
      <c r="P5" s="2" t="s">
        <v>116</v>
      </c>
      <c r="Q5" s="2" t="s">
        <v>117</v>
      </c>
      <c r="R5" s="2" t="s">
        <v>35</v>
      </c>
      <c r="S5" s="2"/>
      <c r="T5" s="2" t="s">
        <v>36</v>
      </c>
      <c r="U5" s="2">
        <v>0.5</v>
      </c>
      <c r="V5" s="2" t="s">
        <v>37</v>
      </c>
      <c r="W5" s="2"/>
      <c r="X5" s="2" t="s">
        <v>381</v>
      </c>
      <c r="Y5" s="2" t="s">
        <v>39</v>
      </c>
      <c r="Z5" s="2">
        <v>1.034</v>
      </c>
      <c r="AA5" s="2">
        <v>1.012</v>
      </c>
      <c r="AB5" s="2">
        <v>1.056</v>
      </c>
    </row>
  </sheetData>
  <autoFilter xmlns:etc="http://www.wps.cn/officeDocument/2017/etCustomData" ref="A1:AB5"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3"/>
  <sheetViews>
    <sheetView workbookViewId="0">
      <selection activeCell="T14" sqref="T14"/>
    </sheetView>
  </sheetViews>
  <sheetFormatPr defaultColWidth="9.02654867256637" defaultRowHeight="13.85" outlineLevelRow="2"/>
  <cols>
    <col min="1" max="22" width="9.02654867256637" style="3"/>
    <col min="23" max="23" width="49.787610619469" style="3" customWidth="1"/>
    <col min="24" max="16384" width="9.02654867256637" style="3"/>
  </cols>
  <sheetData>
    <row r="1" ht="13.9" spans="1:28">
      <c r="A1" s="4" t="s">
        <v>0</v>
      </c>
      <c r="B1" s="5" t="s">
        <v>1</v>
      </c>
      <c r="C1" s="6" t="s">
        <v>2</v>
      </c>
      <c r="D1" s="6" t="s">
        <v>3</v>
      </c>
      <c r="E1" s="6" t="s">
        <v>4</v>
      </c>
      <c r="F1" s="7" t="s">
        <v>5</v>
      </c>
      <c r="G1" s="8" t="s">
        <v>6</v>
      </c>
      <c r="H1" s="8" t="s">
        <v>6</v>
      </c>
      <c r="I1" s="2" t="s">
        <v>7</v>
      </c>
      <c r="J1" s="2" t="s">
        <v>382</v>
      </c>
      <c r="K1" s="2" t="s">
        <v>383</v>
      </c>
      <c r="L1" s="8" t="s">
        <v>10</v>
      </c>
      <c r="M1" s="9" t="s">
        <v>11</v>
      </c>
      <c r="N1" s="6" t="s">
        <v>205</v>
      </c>
      <c r="O1" s="8" t="s">
        <v>13</v>
      </c>
      <c r="P1" s="6" t="s">
        <v>14</v>
      </c>
      <c r="Q1" s="6" t="s">
        <v>15</v>
      </c>
      <c r="R1" s="6" t="s">
        <v>16</v>
      </c>
      <c r="S1" s="8" t="s">
        <v>17</v>
      </c>
      <c r="T1" s="6" t="s">
        <v>18</v>
      </c>
      <c r="U1" s="17" t="s">
        <v>19</v>
      </c>
      <c r="V1" s="6" t="s">
        <v>20</v>
      </c>
      <c r="W1" s="6" t="s">
        <v>21</v>
      </c>
      <c r="X1" s="6"/>
      <c r="Y1" s="8" t="s">
        <v>22</v>
      </c>
      <c r="Z1" s="7" t="s">
        <v>23</v>
      </c>
      <c r="AA1" s="6" t="s">
        <v>24</v>
      </c>
      <c r="AB1" s="6" t="s">
        <v>25</v>
      </c>
    </row>
    <row r="2" spans="1:28">
      <c r="A2" s="2">
        <v>289</v>
      </c>
      <c r="B2" s="2">
        <v>1</v>
      </c>
      <c r="C2" s="5"/>
      <c r="D2" s="2">
        <v>2012</v>
      </c>
      <c r="E2" s="5"/>
      <c r="F2" s="7" t="s">
        <v>45</v>
      </c>
      <c r="G2" s="7" t="s">
        <v>115</v>
      </c>
      <c r="H2" s="7" t="s">
        <v>47</v>
      </c>
      <c r="I2" s="7" t="s">
        <v>30</v>
      </c>
      <c r="J2" s="7" t="s">
        <v>48</v>
      </c>
      <c r="K2" s="7" t="s">
        <v>32</v>
      </c>
      <c r="L2" s="7"/>
      <c r="M2" s="10"/>
      <c r="N2" s="7" t="s">
        <v>42</v>
      </c>
      <c r="O2" s="7"/>
      <c r="P2" s="7" t="s">
        <v>116</v>
      </c>
      <c r="Q2" s="7" t="s">
        <v>117</v>
      </c>
      <c r="R2" s="7" t="s">
        <v>35</v>
      </c>
      <c r="S2" s="7"/>
      <c r="T2" s="7" t="s">
        <v>36</v>
      </c>
      <c r="U2" s="10">
        <v>0.5</v>
      </c>
      <c r="V2" s="7" t="s">
        <v>37</v>
      </c>
      <c r="W2" s="7"/>
      <c r="X2" s="7" t="s">
        <v>384</v>
      </c>
      <c r="Y2" s="11" t="s">
        <v>39</v>
      </c>
      <c r="Z2" s="2">
        <v>1.037</v>
      </c>
      <c r="AA2" s="2">
        <v>1.019</v>
      </c>
      <c r="AB2" s="2">
        <v>1.054</v>
      </c>
    </row>
    <row r="3" spans="1:28">
      <c r="A3" s="2">
        <v>289</v>
      </c>
      <c r="B3" s="2">
        <v>2</v>
      </c>
      <c r="C3" s="5"/>
      <c r="D3" s="2">
        <v>2012</v>
      </c>
      <c r="E3" s="5"/>
      <c r="F3" s="7" t="s">
        <v>348</v>
      </c>
      <c r="G3" s="7" t="s">
        <v>115</v>
      </c>
      <c r="H3" s="7" t="s">
        <v>47</v>
      </c>
      <c r="I3" s="7" t="s">
        <v>30</v>
      </c>
      <c r="J3" s="7" t="s">
        <v>48</v>
      </c>
      <c r="K3" s="7" t="s">
        <v>32</v>
      </c>
      <c r="L3" s="7"/>
      <c r="M3" s="10"/>
      <c r="N3" s="7" t="s">
        <v>42</v>
      </c>
      <c r="O3" s="7"/>
      <c r="P3" s="7" t="s">
        <v>116</v>
      </c>
      <c r="Q3" s="7" t="s">
        <v>117</v>
      </c>
      <c r="R3" s="7" t="s">
        <v>35</v>
      </c>
      <c r="S3" s="7"/>
      <c r="T3" s="7" t="s">
        <v>36</v>
      </c>
      <c r="U3" s="10">
        <v>0.5</v>
      </c>
      <c r="V3" s="7" t="s">
        <v>37</v>
      </c>
      <c r="X3" s="7" t="s">
        <v>384</v>
      </c>
      <c r="Y3" s="11" t="s">
        <v>39</v>
      </c>
      <c r="Z3" s="2">
        <v>1.043</v>
      </c>
      <c r="AA3" s="2">
        <v>1.021</v>
      </c>
      <c r="AB3" s="2">
        <v>1.067</v>
      </c>
    </row>
  </sheetData>
  <autoFilter xmlns:etc="http://www.wps.cn/officeDocument/2017/etCustomData" ref="A1:AB3" etc:filterBottomFollowUsedRange="0">
    <extLst/>
  </autoFilter>
  <pageMargins left="0.75" right="0.75" top="1" bottom="1" header="0.5" footer="0.5"/>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7"/>
  <sheetViews>
    <sheetView topLeftCell="O1" workbookViewId="0">
      <selection activeCell="Z1" sqref="Z$1:Z$1048576"/>
    </sheetView>
  </sheetViews>
  <sheetFormatPr defaultColWidth="9.02654867256637" defaultRowHeight="13.5" outlineLevelRow="6"/>
  <cols>
    <col min="1" max="16384" width="9.02654867256637" style="1"/>
  </cols>
  <sheetData>
    <row r="1" ht="13.9" spans="1:28">
      <c r="A1" s="2" t="s">
        <v>0</v>
      </c>
      <c r="B1" s="2" t="s">
        <v>1</v>
      </c>
      <c r="C1" s="2" t="s">
        <v>2</v>
      </c>
      <c r="D1" s="2" t="s">
        <v>3</v>
      </c>
      <c r="E1" s="2" t="s">
        <v>4</v>
      </c>
      <c r="F1" s="2" t="s">
        <v>5</v>
      </c>
      <c r="G1" s="2" t="s">
        <v>6</v>
      </c>
      <c r="H1" s="2" t="s">
        <v>6</v>
      </c>
      <c r="I1" s="2" t="s">
        <v>7</v>
      </c>
      <c r="J1" s="2" t="s">
        <v>382</v>
      </c>
      <c r="K1" s="2" t="s">
        <v>383</v>
      </c>
      <c r="L1" s="2" t="s">
        <v>10</v>
      </c>
      <c r="M1" s="2" t="s">
        <v>11</v>
      </c>
      <c r="N1" s="2" t="s">
        <v>205</v>
      </c>
      <c r="O1" s="2" t="s">
        <v>13</v>
      </c>
      <c r="P1" s="2" t="s">
        <v>14</v>
      </c>
      <c r="Q1" s="2" t="s">
        <v>15</v>
      </c>
      <c r="R1" s="2" t="s">
        <v>16</v>
      </c>
      <c r="S1" s="2" t="s">
        <v>17</v>
      </c>
      <c r="T1" s="2" t="s">
        <v>18</v>
      </c>
      <c r="U1" s="15" t="s">
        <v>19</v>
      </c>
      <c r="V1" s="2" t="s">
        <v>20</v>
      </c>
      <c r="W1" s="2" t="s">
        <v>21</v>
      </c>
      <c r="X1" s="2"/>
      <c r="Y1" s="2" t="s">
        <v>22</v>
      </c>
      <c r="Z1" s="2" t="s">
        <v>23</v>
      </c>
      <c r="AA1" s="2" t="s">
        <v>24</v>
      </c>
      <c r="AB1" s="2" t="s">
        <v>25</v>
      </c>
    </row>
    <row r="2" ht="13.85" spans="1:28">
      <c r="A2" s="2">
        <v>289</v>
      </c>
      <c r="B2" s="2">
        <v>1</v>
      </c>
      <c r="C2" s="2"/>
      <c r="D2" s="2">
        <v>2012</v>
      </c>
      <c r="E2" s="2"/>
      <c r="F2" s="2" t="s">
        <v>45</v>
      </c>
      <c r="G2" s="2" t="s">
        <v>115</v>
      </c>
      <c r="H2" s="2" t="s">
        <v>47</v>
      </c>
      <c r="I2" s="2" t="s">
        <v>30</v>
      </c>
      <c r="J2" s="2" t="s">
        <v>48</v>
      </c>
      <c r="K2" s="2" t="s">
        <v>32</v>
      </c>
      <c r="L2" s="2"/>
      <c r="M2" s="2"/>
      <c r="N2" s="2" t="s">
        <v>42</v>
      </c>
      <c r="O2" s="2"/>
      <c r="P2" s="2" t="s">
        <v>116</v>
      </c>
      <c r="Q2" s="2" t="s">
        <v>117</v>
      </c>
      <c r="R2" s="2" t="s">
        <v>35</v>
      </c>
      <c r="S2" s="2"/>
      <c r="T2" s="2" t="s">
        <v>36</v>
      </c>
      <c r="U2" s="2">
        <v>0.5</v>
      </c>
      <c r="V2" s="2" t="s">
        <v>37</v>
      </c>
      <c r="W2" s="2"/>
      <c r="X2" s="2" t="s">
        <v>385</v>
      </c>
      <c r="Y2" s="2" t="s">
        <v>39</v>
      </c>
      <c r="Z2" s="2">
        <v>1.044</v>
      </c>
      <c r="AA2" s="2">
        <v>1.024</v>
      </c>
      <c r="AB2" s="2">
        <v>1.065</v>
      </c>
    </row>
    <row r="3" ht="13.85" spans="1:28">
      <c r="A3" s="2">
        <v>289</v>
      </c>
      <c r="B3" s="2">
        <v>2</v>
      </c>
      <c r="C3" s="2"/>
      <c r="D3" s="2">
        <v>2012</v>
      </c>
      <c r="E3" s="2"/>
      <c r="F3" s="2" t="s">
        <v>348</v>
      </c>
      <c r="G3" s="2" t="s">
        <v>115</v>
      </c>
      <c r="H3" s="2" t="s">
        <v>47</v>
      </c>
      <c r="I3" s="2" t="s">
        <v>30</v>
      </c>
      <c r="J3" s="2" t="s">
        <v>48</v>
      </c>
      <c r="K3" s="2" t="s">
        <v>32</v>
      </c>
      <c r="L3" s="2"/>
      <c r="M3" s="2"/>
      <c r="N3" s="2" t="s">
        <v>42</v>
      </c>
      <c r="O3" s="2"/>
      <c r="P3" s="2" t="s">
        <v>116</v>
      </c>
      <c r="Q3" s="2" t="s">
        <v>117</v>
      </c>
      <c r="R3" s="2" t="s">
        <v>35</v>
      </c>
      <c r="S3" s="2"/>
      <c r="T3" s="2" t="s">
        <v>36</v>
      </c>
      <c r="U3" s="2">
        <v>0.5</v>
      </c>
      <c r="V3" s="2" t="s">
        <v>37</v>
      </c>
      <c r="W3" s="2"/>
      <c r="X3" s="2" t="s">
        <v>385</v>
      </c>
      <c r="Y3" s="2" t="s">
        <v>39</v>
      </c>
      <c r="Z3" s="2">
        <v>1.045</v>
      </c>
      <c r="AA3" s="2">
        <v>1.031</v>
      </c>
      <c r="AB3" s="2">
        <v>1.06</v>
      </c>
    </row>
    <row r="4" ht="13.85" spans="1:28">
      <c r="A4" s="2"/>
      <c r="B4" s="2"/>
      <c r="C4" s="2"/>
      <c r="D4" s="2"/>
      <c r="E4" s="2"/>
      <c r="F4" s="2"/>
      <c r="G4" s="2"/>
      <c r="H4" s="2"/>
      <c r="I4" s="2"/>
      <c r="J4" s="2"/>
      <c r="K4" s="2"/>
      <c r="L4" s="2"/>
      <c r="M4" s="2"/>
      <c r="N4" s="2"/>
      <c r="O4" s="2"/>
      <c r="P4" s="2"/>
      <c r="Q4" s="2"/>
      <c r="R4" s="2"/>
      <c r="S4" s="2"/>
      <c r="T4" s="2"/>
      <c r="U4" s="2"/>
      <c r="V4" s="2"/>
      <c r="W4" s="2"/>
      <c r="X4" s="2"/>
      <c r="Y4" s="2"/>
      <c r="Z4" s="2"/>
      <c r="AA4" s="2"/>
      <c r="AB4" s="2"/>
    </row>
    <row r="5" ht="13.85" spans="1:28">
      <c r="A5" s="2"/>
      <c r="B5" s="2"/>
      <c r="C5" s="2"/>
      <c r="D5" s="2"/>
      <c r="E5" s="2"/>
      <c r="F5" s="2"/>
      <c r="G5" s="2"/>
      <c r="H5" s="2"/>
      <c r="I5" s="2"/>
      <c r="J5" s="2"/>
      <c r="K5" s="2"/>
      <c r="L5" s="2"/>
      <c r="M5" s="2"/>
      <c r="N5" s="2"/>
      <c r="O5" s="2"/>
      <c r="P5" s="2"/>
      <c r="Q5" s="2"/>
      <c r="R5" s="2"/>
      <c r="S5" s="2"/>
      <c r="T5" s="2"/>
      <c r="U5" s="2"/>
      <c r="V5" s="2"/>
      <c r="W5" s="2"/>
      <c r="X5" s="2"/>
      <c r="Y5" s="2"/>
      <c r="Z5" s="2"/>
      <c r="AA5" s="2"/>
      <c r="AB5" s="2"/>
    </row>
    <row r="6" ht="13.85" spans="1:28">
      <c r="A6" s="2"/>
      <c r="B6" s="2"/>
      <c r="C6" s="2"/>
      <c r="D6" s="2"/>
      <c r="E6" s="2"/>
      <c r="F6" s="2"/>
      <c r="G6" s="2"/>
      <c r="H6" s="2"/>
      <c r="I6" s="2"/>
      <c r="J6" s="2"/>
      <c r="K6" s="2"/>
      <c r="L6" s="2"/>
      <c r="M6" s="2"/>
      <c r="N6" s="2"/>
      <c r="O6" s="2"/>
      <c r="P6" s="2"/>
      <c r="Q6" s="2"/>
      <c r="R6" s="2"/>
      <c r="S6" s="2"/>
      <c r="T6" s="2"/>
      <c r="U6" s="2"/>
      <c r="V6" s="2"/>
      <c r="W6" s="2"/>
      <c r="X6" s="2"/>
      <c r="Y6" s="2"/>
      <c r="Z6" s="2"/>
      <c r="AA6" s="2"/>
      <c r="AB6" s="2"/>
    </row>
    <row r="7" ht="13.85" spans="1:28">
      <c r="A7" s="2"/>
      <c r="B7" s="2"/>
      <c r="C7" s="2"/>
      <c r="D7" s="2"/>
      <c r="E7" s="2"/>
      <c r="F7" s="2"/>
      <c r="G7" s="2"/>
      <c r="H7" s="2"/>
      <c r="I7" s="2"/>
      <c r="J7" s="2"/>
      <c r="K7" s="2"/>
      <c r="L7" s="2"/>
      <c r="M7" s="2"/>
      <c r="N7" s="2"/>
      <c r="O7" s="2"/>
      <c r="P7" s="2"/>
      <c r="Q7" s="2"/>
      <c r="R7" s="2"/>
      <c r="S7" s="2"/>
      <c r="T7" s="2"/>
      <c r="U7" s="2"/>
      <c r="V7" s="2"/>
      <c r="W7" s="2"/>
      <c r="X7" s="2"/>
      <c r="Y7" s="2"/>
      <c r="Z7" s="2"/>
      <c r="AA7" s="2"/>
      <c r="AB7" s="2"/>
    </row>
  </sheetData>
  <autoFilter xmlns:etc="http://www.wps.cn/officeDocument/2017/etCustomData" ref="A1:AB3" etc:filterBottomFollowUsedRange="0">
    <extLst/>
  </autoFilter>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10</vt:i4>
      </vt:variant>
    </vt:vector>
  </HeadingPairs>
  <TitlesOfParts>
    <vt:vector size="10" baseType="lpstr">
      <vt:lpstr>all-cause mortality</vt:lpstr>
      <vt:lpstr>hospitalization</vt:lpstr>
      <vt:lpstr>Circulatory Diseases Mortality </vt:lpstr>
      <vt:lpstr>emergency</vt:lpstr>
      <vt:lpstr>Respiratory Diseases Mortality </vt:lpstr>
      <vt:lpstr>Mental Disorders Mortality</vt:lpstr>
      <vt:lpstr>Circulatory Diseases Morbidity</vt:lpstr>
      <vt:lpstr>Nervous Diseases Mortality </vt:lpstr>
      <vt:lpstr>Metabolic Diseases Mortality</vt:lpstr>
      <vt:lpstr>Genitourinary Diseases Mortalit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李燊</dc:creator>
  <cp:lastModifiedBy>WPS_1602315140</cp:lastModifiedBy>
  <dcterms:created xsi:type="dcterms:W3CDTF">2023-05-12T11:15:00Z</dcterms:created>
  <dcterms:modified xsi:type="dcterms:W3CDTF">2026-08-14T03:45:56Z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A6A1495F21814D08B4BEA4D11F99EA73_12</vt:lpwstr>
  </property>
</Properties>
</file>