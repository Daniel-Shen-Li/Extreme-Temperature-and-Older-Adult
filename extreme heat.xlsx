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52" windowHeight="10612" firstSheet="4" activeTab="6"/>
  </bookViews>
  <sheets>
    <sheet name="Hospitalization" sheetId="2" r:id="rId1"/>
    <sheet name="all-cause mortality" sheetId="3" r:id="rId2"/>
    <sheet name="emergency" sheetId="4" r:id="rId3"/>
    <sheet name="Circulatory Diseases Mortality" sheetId="5" r:id="rId4"/>
    <sheet name="Tuberculosis Morbidity" sheetId="6" r:id="rId5"/>
    <sheet name="Circulatory Diseases Morbidity" sheetId="7" r:id="rId6"/>
    <sheet name="Mental Disorders Morbidity" sheetId="8" r:id="rId7"/>
    <sheet name="Suicide Morbidity" sheetId="9" r:id="rId8"/>
    <sheet name="Nervous Diseases Mortality" sheetId="10" r:id="rId9"/>
    <sheet name="Respiratory Diseases Mortality" sheetId="11" r:id="rId10"/>
    <sheet name="Nervous Diseases Morbidity " sheetId="12" r:id="rId11"/>
  </sheets>
  <externalReferences>
    <externalReference r:id="rId12"/>
  </externalReferences>
  <definedNames>
    <definedName name="_xlnm._FilterDatabase" localSheetId="0" hidden="1">Hospitalization!$A$1:$AB$101</definedName>
    <definedName name="_xlnm._FilterDatabase" localSheetId="1" hidden="1">'all-cause mortality'!$A$1:$AB$90</definedName>
    <definedName name="_xlnm._FilterDatabase" localSheetId="2" hidden="1">emergency!$A$1:$AB$49</definedName>
    <definedName name="_xlnm._FilterDatabase" localSheetId="3" hidden="1">'Circulatory Diseases Mortality'!$A$1:$AB$32</definedName>
    <definedName name="_xlnm._FilterDatabase" localSheetId="4" hidden="1">'Tuberculosis Morbidity'!$A$1:$AB$4</definedName>
    <definedName name="_xlnm._FilterDatabase" localSheetId="5" hidden="1">'Circulatory Diseases Morbidity'!$A$1:$AB$16</definedName>
    <definedName name="_xlnm._FilterDatabase" localSheetId="6" hidden="1">'Mental Disorders Morbidity'!$A$1:$AB$11</definedName>
    <definedName name="_xlnm._FilterDatabase" localSheetId="7" hidden="1">'Suicide Morbidity'!$A$1:$AB$8</definedName>
    <definedName name="_xlnm._FilterDatabase" localSheetId="8" hidden="1">'Nervous Diseases Mortality'!$A$1:$AB$4</definedName>
    <definedName name="_xlnm._FilterDatabase" localSheetId="9" hidden="1">'Respiratory Diseases Mortality'!$A$1:$AB$8</definedName>
    <definedName name="_xlnm._FilterDatabase" localSheetId="10" hidden="1">'Nervous Diseases Morbidity '!$A$1:$AB$3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User</author>
  </authors>
  <commentList>
    <comment ref="N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纳入了多少项研究，分别是什么类型，meta必写</t>
        </r>
      </text>
    </comment>
    <comment ref="P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数据来源；Discussion：没有数据来源标明的临床/回顾性研究可能对数据采集有不准确的地方</t>
        </r>
      </text>
    </comment>
    <comment ref="T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对应结局类型</t>
        </r>
      </text>
    </comment>
    <comment ref="V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对应结局类型</t>
        </r>
      </text>
    </comment>
  </commentList>
</comments>
</file>

<file path=xl/comments2.xml><?xml version="1.0" encoding="utf-8"?>
<comments xmlns="http://schemas.openxmlformats.org/spreadsheetml/2006/main">
  <authors>
    <author>Unknown User</author>
  </authors>
  <commentList>
    <comment ref="N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纳入了多少项研究，分别是什么类型，meta必写</t>
        </r>
      </text>
    </comment>
    <comment ref="P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数据来源；Discussion：没有数据来源标明的临床/回顾性研究可能对数据采集有不准确的地方</t>
        </r>
      </text>
    </comment>
    <comment ref="T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对应结局类型</t>
        </r>
      </text>
    </comment>
    <comment ref="V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对应结局类型</t>
        </r>
      </text>
    </comment>
  </commentList>
</comments>
</file>

<file path=xl/comments3.xml><?xml version="1.0" encoding="utf-8"?>
<comments xmlns="http://schemas.openxmlformats.org/spreadsheetml/2006/main">
  <authors>
    <author>Unknown User</author>
  </authors>
  <commentList>
    <comment ref="N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纳入了多少项研究，分别是什么类型，meta必写</t>
        </r>
      </text>
    </comment>
    <comment ref="P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数据来源；Discussion：没有数据来源标明的临床/回顾性研究可能对数据采集有不准确的地方</t>
        </r>
      </text>
    </comment>
    <comment ref="T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对应结局类型</t>
        </r>
      </text>
    </comment>
    <comment ref="V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对应结局类型</t>
        </r>
      </text>
    </comment>
  </commentList>
</comments>
</file>

<file path=xl/comments4.xml><?xml version="1.0" encoding="utf-8"?>
<comments xmlns="http://schemas.openxmlformats.org/spreadsheetml/2006/main">
  <authors>
    <author>Unknown User</author>
  </authors>
  <commentList>
    <comment ref="N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纳入了多少项研究，分别是什么类型，meta必写</t>
        </r>
      </text>
    </comment>
    <comment ref="P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数据来源；Discussion：没有数据来源标明的临床/回顾性研究可能对数据采集有不准确的地方</t>
        </r>
      </text>
    </comment>
    <comment ref="T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对应结局类型</t>
        </r>
      </text>
    </comment>
    <comment ref="V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对应结局类型</t>
        </r>
      </text>
    </comment>
  </commentList>
</comments>
</file>

<file path=xl/comments5.xml><?xml version="1.0" encoding="utf-8"?>
<comments xmlns="http://schemas.openxmlformats.org/spreadsheetml/2006/main">
  <authors>
    <author>Unknown User</author>
  </authors>
  <commentList>
    <comment ref="N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纳入了多少项研究，分别是什么类型，meta必写</t>
        </r>
      </text>
    </comment>
    <comment ref="P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数据来源；Discussion：没有数据来源标明的临床/回顾性研究可能对数据采集有不准确的地方</t>
        </r>
      </text>
    </comment>
    <comment ref="T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对应结局类型</t>
        </r>
      </text>
    </comment>
    <comment ref="V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对应结局类型</t>
        </r>
      </text>
    </comment>
  </commentList>
</comments>
</file>

<file path=xl/comments6.xml><?xml version="1.0" encoding="utf-8"?>
<comments xmlns="http://schemas.openxmlformats.org/spreadsheetml/2006/main">
  <authors>
    <author>Unknown User</author>
  </authors>
  <commentList>
    <comment ref="N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纳入了多少项研究，分别是什么类型，meta必写</t>
        </r>
      </text>
    </comment>
    <comment ref="P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数据来源；Discussion：没有数据来源标明的临床/回顾性研究可能对数据采集有不准确的地方</t>
        </r>
      </text>
    </comment>
    <comment ref="T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对应结局类型</t>
        </r>
      </text>
    </comment>
    <comment ref="V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对应结局类型</t>
        </r>
      </text>
    </comment>
  </commentList>
</comments>
</file>

<file path=xl/comments7.xml><?xml version="1.0" encoding="utf-8"?>
<comments xmlns="http://schemas.openxmlformats.org/spreadsheetml/2006/main">
  <authors>
    <author>Unknown User</author>
  </authors>
  <commentList>
    <comment ref="N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纳入了多少项研究，分别是什么类型，meta必写</t>
        </r>
      </text>
    </comment>
    <comment ref="P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数据来源；Discussion：没有数据来源标明的临床/回顾性研究可能对数据采集有不准确的地方</t>
        </r>
      </text>
    </comment>
    <comment ref="T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对应结局类型</t>
        </r>
      </text>
    </comment>
    <comment ref="V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对应结局类型</t>
        </r>
      </text>
    </comment>
  </commentList>
</comments>
</file>

<file path=xl/comments8.xml><?xml version="1.0" encoding="utf-8"?>
<comments xmlns="http://schemas.openxmlformats.org/spreadsheetml/2006/main">
  <authors>
    <author>Unknown User</author>
  </authors>
  <commentList>
    <comment ref="N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纳入了多少项研究，分别是什么类型，meta必写</t>
        </r>
      </text>
    </comment>
    <comment ref="P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数据来源；Discussion：没有数据来源标明的临床/回顾性研究可能对数据采集有不准确的地方</t>
        </r>
      </text>
    </comment>
    <comment ref="T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对应结局类型</t>
        </r>
      </text>
    </comment>
    <comment ref="V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对应结局类型</t>
        </r>
      </text>
    </comment>
  </commentList>
</comments>
</file>

<file path=xl/comments9.xml><?xml version="1.0" encoding="utf-8"?>
<comments xmlns="http://schemas.openxmlformats.org/spreadsheetml/2006/main">
  <authors>
    <author>Unknown User</author>
  </authors>
  <commentList>
    <comment ref="N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纳入了多少项研究，分别是什么类型，meta必写</t>
        </r>
      </text>
    </comment>
    <comment ref="P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数据来源；Discussion：没有数据来源标明的临床/回顾性研究可能对数据采集有不准确的地方</t>
        </r>
      </text>
    </comment>
    <comment ref="T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对应结局类型</t>
        </r>
      </text>
    </comment>
    <comment ref="V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对应结局类型</t>
        </r>
      </text>
    </comment>
  </commentList>
</comments>
</file>

<file path=xl/comments10.xml><?xml version="1.0" encoding="utf-8"?>
<comments xmlns="http://schemas.openxmlformats.org/spreadsheetml/2006/main">
  <authors>
    <author>Unknown User</author>
  </authors>
  <commentList>
    <comment ref="N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纳入了多少项研究，分别是什么类型，meta必写</t>
        </r>
      </text>
    </comment>
    <comment ref="P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数据来源；Discussion：没有数据来源标明的临床/回顾性研究可能对数据采集有不准确的地方</t>
        </r>
      </text>
    </comment>
    <comment ref="T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对应结局类型</t>
        </r>
      </text>
    </comment>
    <comment ref="V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对应结局类型</t>
        </r>
      </text>
    </comment>
  </commentList>
</comments>
</file>

<file path=xl/comments11.xml><?xml version="1.0" encoding="utf-8"?>
<comments xmlns="http://schemas.openxmlformats.org/spreadsheetml/2006/main">
  <authors>
    <author>Unknown User</author>
  </authors>
  <commentList>
    <comment ref="N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纳入了多少项研究，分别是什么类型，meta必写</t>
        </r>
      </text>
    </comment>
    <comment ref="P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数据来源；Discussion：没有数据来源标明的临床/回顾性研究可能对数据采集有不准确的地方</t>
        </r>
      </text>
    </comment>
    <comment ref="T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对应结局类型</t>
        </r>
      </text>
    </comment>
    <comment ref="V1" authorId="0">
      <text>
        <r>
          <rPr>
            <b/>
            <sz val="9"/>
            <rFont val="宋体"/>
            <charset val="134"/>
          </rPr>
          <t>企业用户_195318484:</t>
        </r>
        <r>
          <rPr>
            <sz val="9"/>
            <rFont val="宋体"/>
            <charset val="134"/>
          </rPr>
          <t xml:space="preserve">
对应结局类型</t>
        </r>
      </text>
    </comment>
  </commentList>
</comments>
</file>

<file path=xl/sharedStrings.xml><?xml version="1.0" encoding="utf-8"?>
<sst xmlns="http://schemas.openxmlformats.org/spreadsheetml/2006/main" count="5447" uniqueCount="723">
  <si>
    <t>Study</t>
  </si>
  <si>
    <t>ID</t>
  </si>
  <si>
    <t>title</t>
  </si>
  <si>
    <t>year</t>
  </si>
  <si>
    <t>Author/Year</t>
  </si>
  <si>
    <t>age</t>
  </si>
  <si>
    <t>Country/Location</t>
  </si>
  <si>
    <t>Continent</t>
  </si>
  <si>
    <t>ClimateZone</t>
  </si>
  <si>
    <t>IncomeGroup</t>
  </si>
  <si>
    <t>Events/(total)</t>
  </si>
  <si>
    <t>Sex (Male Proportion)</t>
  </si>
  <si>
    <r>
      <rPr>
        <sz val="11"/>
        <rFont val="Times New Roman"/>
        <charset val="134"/>
      </rPr>
      <t>Study design (cross-section/ cohort/ RCT</t>
    </r>
    <r>
      <rPr>
        <sz val="11"/>
        <rFont val="等线"/>
        <charset val="134"/>
      </rPr>
      <t>）</t>
    </r>
  </si>
  <si>
    <t>Exposure Time Period</t>
  </si>
  <si>
    <t>Temperature measure/source</t>
  </si>
  <si>
    <t>Definiton of climate change</t>
  </si>
  <si>
    <t>Definition of temperature</t>
  </si>
  <si>
    <t>Comparison</t>
  </si>
  <si>
    <t>Lag Time</t>
  </si>
  <si>
    <t>Lagmid</t>
  </si>
  <si>
    <t>LagTape</t>
  </si>
  <si>
    <t>Outcome</t>
  </si>
  <si>
    <t>Metric</t>
  </si>
  <si>
    <t>effect</t>
  </si>
  <si>
    <t>lci</t>
  </si>
  <si>
    <t>uci</t>
  </si>
  <si>
    <t>≥ 65y</t>
  </si>
  <si>
    <t>Taiwan, China</t>
  </si>
  <si>
    <t>Asia</t>
  </si>
  <si>
    <t>Humid Subtropical</t>
  </si>
  <si>
    <t>Upper-middle income</t>
  </si>
  <si>
    <t>time-series study</t>
  </si>
  <si>
    <t>99th percentile of temperature (high temperature) relative to the 75th percentile of temperature</t>
  </si>
  <si>
    <t>extreme heat</t>
  </si>
  <si>
    <t>0-27</t>
  </si>
  <si>
    <t>Cumulative Effect</t>
  </si>
  <si>
    <t>non-external hospitalizations</t>
  </si>
  <si>
    <t>hospitalization</t>
  </si>
  <si>
    <t>RR</t>
  </si>
  <si>
    <t>Beijing, China</t>
  </si>
  <si>
    <t>Continental Monsoon</t>
  </si>
  <si>
    <t>case-crossover study</t>
  </si>
  <si>
    <t>97.5th percentile compared to minimum admission temperature</t>
  </si>
  <si>
    <t>0-30</t>
  </si>
  <si>
    <t>asthma hospitalizations</t>
  </si>
  <si>
    <t>Urban heat island impacts on heat-related cardiovascular morbidity: A time series analysis of older adults in US metropolitan areas</t>
  </si>
  <si>
    <t>Stephanie 2024</t>
  </si>
  <si>
    <t>USA</t>
  </si>
  <si>
    <t>North America</t>
  </si>
  <si>
    <t>Mixed</t>
  </si>
  <si>
    <t>High income</t>
  </si>
  <si>
    <t xml:space="preserve">National Oceanic and Atmospheric Administration’s National Climatic Data Center’s Global Surface Summary of the Day database </t>
  </si>
  <si>
    <t>99th ambient temperature percentile compared to the minimum hospitalization percentile</t>
  </si>
  <si>
    <t>0-20</t>
  </si>
  <si>
    <t>cardiovascular disease hospitalization</t>
  </si>
  <si>
    <r>
      <rPr>
        <sz val="11"/>
        <rFont val="Times New Roman"/>
        <charset val="134"/>
      </rPr>
      <t>Association between extreme temperature and kidney disease in South Korea, 2003</t>
    </r>
    <r>
      <rPr>
        <sz val="11"/>
        <rFont val="宋体"/>
        <charset val="134"/>
      </rPr>
      <t>鈥</t>
    </r>
    <r>
      <rPr>
        <sz val="11"/>
        <rFont val="Times New Roman"/>
        <charset val="134"/>
      </rPr>
      <t>?013: Stratified by sex and age groups</t>
    </r>
  </si>
  <si>
    <t>Ejin Kim</t>
  </si>
  <si>
    <t>≥ 65y male</t>
  </si>
  <si>
    <t>Seoul, Korea</t>
  </si>
  <si>
    <t>Seoul, South Korea</t>
  </si>
  <si>
    <t>23123(total city)</t>
  </si>
  <si>
    <t>Korea Meteorological Administration</t>
  </si>
  <si>
    <t>Temperature over the 99th percentile VS MMT</t>
  </si>
  <si>
    <t>0-7</t>
  </si>
  <si>
    <r>
      <rPr>
        <sz val="11"/>
        <rFont val="Times New Roman"/>
        <charset val="134"/>
      </rPr>
      <t>acute kidney injury</t>
    </r>
    <r>
      <rPr>
        <sz val="11"/>
        <rFont val="Times New Roman"/>
        <charset val="134"/>
      </rPr>
      <t> (AKI)</t>
    </r>
    <r>
      <rPr>
        <u/>
        <sz val="11"/>
        <rFont val="Times New Roman"/>
        <charset val="134"/>
      </rPr>
      <t xml:space="preserve"> hospital admissions</t>
    </r>
  </si>
  <si>
    <t>≥ 65y female</t>
  </si>
  <si>
    <t>23958(total city )</t>
  </si>
  <si>
    <t>Busan</t>
  </si>
  <si>
    <t>Busan, South Korea</t>
  </si>
  <si>
    <t>Daegu</t>
  </si>
  <si>
    <t>Daegu, South Korea</t>
  </si>
  <si>
    <t>Incheon</t>
  </si>
  <si>
    <t>Incheon, South Korea</t>
  </si>
  <si>
    <t>GwangJu</t>
  </si>
  <si>
    <t>Gwangju, South Korea</t>
  </si>
  <si>
    <t>Daejeon</t>
  </si>
  <si>
    <t>Daejeon, South Korea</t>
  </si>
  <si>
    <t>Ulsan</t>
  </si>
  <si>
    <t>Ulsan, South Korea</t>
  </si>
  <si>
    <t>Gyeonggido</t>
  </si>
  <si>
    <t>Gyeonggi, South Korea</t>
  </si>
  <si>
    <t>Gangwondo</t>
  </si>
  <si>
    <t>Gangwon, South Korea</t>
  </si>
  <si>
    <t>Chungcheongbukdo</t>
  </si>
  <si>
    <t>Chungbuk, South Korea</t>
  </si>
  <si>
    <t>Chungcheongnamdo</t>
  </si>
  <si>
    <t>Chungnam, South Korea</t>
  </si>
  <si>
    <t>Jeollabukdo</t>
  </si>
  <si>
    <t>Jeonbuk, South Korea</t>
  </si>
  <si>
    <t>Jeollanamdo</t>
  </si>
  <si>
    <t>Jeonnam, South Korea</t>
  </si>
  <si>
    <t>Gyeongsangbukdo</t>
  </si>
  <si>
    <t>Gyeongbuk, South Korea</t>
  </si>
  <si>
    <t>Gyeongsangnamdo</t>
  </si>
  <si>
    <t>Gyeongnam, South Korea</t>
  </si>
  <si>
    <t>Jejudo</t>
  </si>
  <si>
    <t>Jeju, South Korea</t>
  </si>
  <si>
    <t>Mental disease-related emergency admissions attributable to hot temperatures</t>
  </si>
  <si>
    <t>Suji Lee, ET</t>
  </si>
  <si>
    <t>Korea</t>
  </si>
  <si>
    <t>South Korea</t>
  </si>
  <si>
    <t xml:space="preserve"> </t>
  </si>
  <si>
    <t>Korean Meteorological Administration</t>
  </si>
  <si>
    <t xml:space="preserve">above the 99th percentile of the mean temperature distribution (29.4 °C) VS the 50th percentile of the temperature distribution (15.2 °C) as the reference </t>
  </si>
  <si>
    <t>0-4</t>
  </si>
  <si>
    <t>Mental health in hospitial</t>
  </si>
  <si>
    <r>
      <rPr>
        <sz val="11"/>
        <rFont val="Times New Roman"/>
        <charset val="134"/>
      </rPr>
      <t>90th vs. 75th percentile temperature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Tmean model</t>
    </r>
  </si>
  <si>
    <t>acute myocardial infarction hospital admissions</t>
  </si>
  <si>
    <t>1995-2016</t>
  </si>
  <si>
    <t>60-69 y</t>
  </si>
  <si>
    <t>Queensland, Australia</t>
  </si>
  <si>
    <t>Oceania</t>
  </si>
  <si>
    <t>99th percentile of temperature against 90th percentile of temperature</t>
  </si>
  <si>
    <t>0-21</t>
  </si>
  <si>
    <t>hospitalisations for cardiovascular diseases</t>
  </si>
  <si>
    <t>70-79 y</t>
  </si>
  <si>
    <t>≥ 80 y</t>
  </si>
  <si>
    <t>Japan</t>
  </si>
  <si>
    <t>cross-sectional study</t>
  </si>
  <si>
    <t>The 99th percentile of temperature with reference to the 75th percentile of temperature</t>
  </si>
  <si>
    <t>0-3</t>
  </si>
  <si>
    <t>hospitalization for diabetic ketoacidosis</t>
  </si>
  <si>
    <t>hospitalization for hypoglycemia</t>
  </si>
  <si>
    <t>Tehran, Iran</t>
  </si>
  <si>
    <t>Semi-arid</t>
  </si>
  <si>
    <t xml:space="preserve">acute myocardial infarction admissions </t>
  </si>
  <si>
    <t>Weather and gastrointestinal disease in Spain: A retrospective time series regression study</t>
  </si>
  <si>
    <t xml:space="preserve">Clara Morral-Puigmal </t>
  </si>
  <si>
    <t>Spain</t>
  </si>
  <si>
    <t>Europe</t>
  </si>
  <si>
    <t>Mediterranean</t>
  </si>
  <si>
    <t>European Climate Assessment &amp; Dataset</t>
  </si>
  <si>
    <t xml:space="preserve"> above the 95th  VS min hospitalizations temperature</t>
  </si>
  <si>
    <t>0-28</t>
  </si>
  <si>
    <t xml:space="preserve"> gastroenteritis hospitalizations</t>
  </si>
  <si>
    <t>Estimation of effects of extreme temperature on the risk of hospitalisation in Taiwan</t>
  </si>
  <si>
    <t>Ayushi Sharma, et</t>
  </si>
  <si>
    <t>Taiwan Central Weather Bureau</t>
  </si>
  <si>
    <t>above 99th percentile ( 32°C)</t>
  </si>
  <si>
    <t>Instant Effect</t>
  </si>
  <si>
    <t>In-patient hospital visits</t>
  </si>
  <si>
    <t>Khorasan, Iran</t>
  </si>
  <si>
    <t xml:space="preserve">above 99th percentile </t>
  </si>
  <si>
    <t>Maryland, USA</t>
  </si>
  <si>
    <t>above the 95th percentile (TMAX) VS Extreme Temperature Threshold 95th percentile (ETT95)</t>
  </si>
  <si>
    <t>hospitalization for asthma</t>
  </si>
  <si>
    <t>OR</t>
  </si>
  <si>
    <t>Israel</t>
  </si>
  <si>
    <t>95–100th percentile of mean temperature</t>
  </si>
  <si>
    <t>All-cause acute hospitalizations</t>
  </si>
  <si>
    <t>IRR</t>
  </si>
  <si>
    <t>Zhangye, China</t>
  </si>
  <si>
    <t>Arid</t>
  </si>
  <si>
    <t>daily CVD hospital admissions</t>
  </si>
  <si>
    <t>Gansu, China</t>
  </si>
  <si>
    <t>95th of mean daily temperature VS Suitable temperature (8 ℃)</t>
  </si>
  <si>
    <t>cardiovascular hospital admissions</t>
  </si>
  <si>
    <t>Effects of ambient temperature on acute exacerbations of chronic obstructive pulmonary disease: Results from a time-series analysis of 143318 hospitalizations</t>
  </si>
  <si>
    <t>Yongqiao Zhang</t>
  </si>
  <si>
    <t>China</t>
  </si>
  <si>
    <t>NA</t>
  </si>
  <si>
    <t>Beijing Meteorological Bureau</t>
  </si>
  <si>
    <t>99th percentiles of Apparent Temperature</t>
  </si>
  <si>
    <t>chronic obstructive pulmonary disease (AECOPD) hospitalizations</t>
  </si>
  <si>
    <t xml:space="preserve"> hospitalization</t>
  </si>
  <si>
    <t>99th percentiles of Temperature vs reference 25th percentile of temperatures (−1.8°C)</t>
  </si>
  <si>
    <t xml:space="preserve">Respiratory Disease Hospitalization </t>
  </si>
  <si>
    <t>18201(total)</t>
  </si>
  <si>
    <t>2018-2019</t>
  </si>
  <si>
    <t>China National Meteorological Center</t>
  </si>
  <si>
    <t>95th percentile of of daily mean temperature</t>
  </si>
  <si>
    <t>minimum mortality temperature</t>
  </si>
  <si>
    <t xml:space="preserve"> hospitalizations for RD, meteorological factors and air pollutants</t>
  </si>
  <si>
    <t>Wuwei, China</t>
  </si>
  <si>
    <t>63387(total)</t>
  </si>
  <si>
    <t>Dingxi, China</t>
  </si>
  <si>
    <t>20104(total)</t>
  </si>
  <si>
    <t>Tianshui, China</t>
  </si>
  <si>
    <t>34481(total)</t>
  </si>
  <si>
    <t>Effects of ambient temperature on hospital admissions and mortality among older adults with and without dementia in South Korea</t>
  </si>
  <si>
    <t>Garam Byun 2025</t>
  </si>
  <si>
    <t>≥ 60y</t>
  </si>
  <si>
    <t>Korea With dementia</t>
  </si>
  <si>
    <t>75438(total)</t>
  </si>
  <si>
    <t>2002-2019</t>
  </si>
  <si>
    <t>99th percentile of daily mean temperature</t>
  </si>
  <si>
    <t>50th percentile of daily mean temperature</t>
  </si>
  <si>
    <t>0-14</t>
  </si>
  <si>
    <t xml:space="preserve">All-cause  hospitalization </t>
  </si>
  <si>
    <t>Continental climates area, USA</t>
  </si>
  <si>
    <t>Humid Continental</t>
  </si>
  <si>
    <t>1406413(total)</t>
  </si>
  <si>
    <t>2000-2018</t>
  </si>
  <si>
    <t>Gridded Surface Meteorological data</t>
  </si>
  <si>
    <t>99 percentile of daily mean temperature for 1day</t>
  </si>
  <si>
    <t>Alzheimer Disease and Related Dementias Hospitalization</t>
  </si>
  <si>
    <t>Arid climates area, USA</t>
  </si>
  <si>
    <t>224382(total)</t>
  </si>
  <si>
    <t>Tropical climates area, USA</t>
  </si>
  <si>
    <t>Tropical</t>
  </si>
  <si>
    <t>69690(total)</t>
  </si>
  <si>
    <t>Jiuquan, China</t>
  </si>
  <si>
    <r>
      <rPr>
        <sz val="11"/>
        <rFont val="Times New Roman"/>
        <charset val="134"/>
      </rPr>
      <t>12143(total</t>
    </r>
    <r>
      <rPr>
        <sz val="11"/>
        <rFont val="等线"/>
        <charset val="134"/>
      </rPr>
      <t>）</t>
    </r>
  </si>
  <si>
    <t>2014-2015</t>
  </si>
  <si>
    <t>Gansu Meteorological Bureau</t>
  </si>
  <si>
    <t>95th percentile of the daily mean Apparent temperature (AT)</t>
  </si>
  <si>
    <t>median of the Apparent temperature</t>
  </si>
  <si>
    <t>Cerebrovascular diseases Hospitalization</t>
  </si>
  <si>
    <t>Longnan, China</t>
  </si>
  <si>
    <r>
      <rPr>
        <sz val="11"/>
        <rFont val="Times New Roman"/>
        <charset val="134"/>
      </rPr>
      <t>16961(total</t>
    </r>
    <r>
      <rPr>
        <sz val="11"/>
        <rFont val="等线"/>
        <charset val="134"/>
      </rPr>
      <t>）</t>
    </r>
  </si>
  <si>
    <t xml:space="preserve">Impact of Heat on Respiratory Hospitalizations among Older Adults in 120 Large U.S. Urban Areas </t>
  </si>
  <si>
    <t>Cassandra R. O’Lenick 2025</t>
  </si>
  <si>
    <t>65-74 y</t>
  </si>
  <si>
    <t>120 Large Urban Areas, USA</t>
  </si>
  <si>
    <t xml:space="preserve">  </t>
  </si>
  <si>
    <t>963430(total)</t>
  </si>
  <si>
    <t>2000-2017</t>
  </si>
  <si>
    <t>National Oceanic and Atmospheric Administration’s National Centers for Environmental Information</t>
  </si>
  <si>
    <t>95th percentile of daily mean temperature</t>
  </si>
  <si>
    <t>0-6</t>
  </si>
  <si>
    <t>respiratory diseases Hospitalization</t>
  </si>
  <si>
    <t>Hospitalization</t>
  </si>
  <si>
    <t>75-84 y</t>
  </si>
  <si>
    <t>1338840(total)</t>
  </si>
  <si>
    <t>≥ 85 y</t>
  </si>
  <si>
    <t>972763(total)</t>
  </si>
  <si>
    <t>65-84 y</t>
  </si>
  <si>
    <t>2010–2019</t>
  </si>
  <si>
    <t>ERA-7 Land dataset</t>
  </si>
  <si>
    <t>99th percentile of mean ambient temperature</t>
  </si>
  <si>
    <t xml:space="preserve">75th percentile of the temperature </t>
  </si>
  <si>
    <t>Cumulative effect</t>
  </si>
  <si>
    <t>ERA-8 Land dataset</t>
  </si>
  <si>
    <t>85+ y</t>
  </si>
  <si>
    <t>ERA-11 Land dataset</t>
  </si>
  <si>
    <t>ERA-12 Land dataset</t>
  </si>
  <si>
    <t>Projections of future heat-related emergency hospitalizations for asthma under climate and demographic change scenarios: A Japanese nationwide time-series analysis</t>
  </si>
  <si>
    <t>Nishimura H 2025</t>
  </si>
  <si>
    <t>≥65 y</t>
  </si>
  <si>
    <t>2011-2019</t>
  </si>
  <si>
    <t>Japan Meteorological Agency</t>
  </si>
  <si>
    <t>Minimum morbidity temperature (MMT)</t>
  </si>
  <si>
    <t xml:space="preserve">0-3 </t>
  </si>
  <si>
    <t>emergency hospitalizations for asthma</t>
  </si>
  <si>
    <t>65-75 y</t>
  </si>
  <si>
    <t>Hong Kong, China</t>
  </si>
  <si>
    <t>2010-2019</t>
  </si>
  <si>
    <t>Hong Kong Observatory (HKO)</t>
  </si>
  <si>
    <t>Daily mean temperature</t>
  </si>
  <si>
    <t>emperature-hospitalization</t>
  </si>
  <si>
    <t>≥75 y</t>
  </si>
  <si>
    <t>&gt;65</t>
  </si>
  <si>
    <t>1998-2010</t>
  </si>
  <si>
    <t>Hong Kong Observatory</t>
  </si>
  <si>
    <t>99th percentile temprature</t>
  </si>
  <si>
    <t>emergency hospital admissions for cardiovascular diseases</t>
  </si>
  <si>
    <t>Compound impact of heatwaves on vulnerable groups considering age, income, and disability</t>
  </si>
  <si>
    <t>Kang 2024</t>
  </si>
  <si>
    <t>2010-2022</t>
  </si>
  <si>
    <t>automated synoptic observing system</t>
  </si>
  <si>
    <t>90th percentile of daily maximum temperatures</t>
  </si>
  <si>
    <t>Daily mean temprature</t>
  </si>
  <si>
    <t>Outpatients and Inpatients of Heat-related Illness </t>
  </si>
  <si>
    <t>Panzhihua, China</t>
  </si>
  <si>
    <t>4652/5299</t>
  </si>
  <si>
    <t>2015-2020</t>
  </si>
  <si>
    <t>Panzhihua, Renhe, Yanbian, and Miyi meteorological stations</t>
  </si>
  <si>
    <t>95th percentile of temperature distribution (29.5°C)</t>
  </si>
  <si>
    <t>Minimum risk temperature (31.7°C)</t>
  </si>
  <si>
    <t>Instant effect</t>
  </si>
  <si>
    <t>AECOPD hospitalization</t>
  </si>
  <si>
    <t>≥70 y</t>
  </si>
  <si>
    <t>Yancheng, China</t>
  </si>
  <si>
    <t>7505/13391</t>
  </si>
  <si>
    <t>2014-2019</t>
  </si>
  <si>
    <t>China Meteorological Data Sharing Service System</t>
  </si>
  <si>
    <t>99th percentile of temperature distribution (30.5°C)</t>
  </si>
  <si>
    <t>Minimum morbidity temperature (24.4°C)</t>
  </si>
  <si>
    <t>AIS hospitalization</t>
  </si>
  <si>
    <t>The effects of heat stress and its effect modifiers on stroke hospitalizations in Allegheny County, Pennsylvania</t>
  </si>
  <si>
    <t>Sandie Ha, et</t>
  </si>
  <si>
    <t>Pennsylvania, USA</t>
  </si>
  <si>
    <t>12195(toatl)</t>
  </si>
  <si>
    <t>US National Climatic Data Center database from the monitoring site located at the Pittsburgh International Airport</t>
  </si>
  <si>
    <t xml:space="preserve">Heat day is defined as any day with a mean temperature exceeding the 95th percentile (79 °F or 26.1 °C) of all temperatures during the study period. </t>
  </si>
  <si>
    <t xml:space="preserve">stroke hospitalizations </t>
  </si>
  <si>
    <t>Heat day is defined as any day with a mean temperature exceeding the 95th percentile (79 °F or 26.1 °C) of all temperatures during the study period. Heat wave is defined as any period with at least two consecutive heat days</t>
  </si>
  <si>
    <t>Extreme temperatures and mortality in Kuwait: Who is vulnerable?</t>
  </si>
  <si>
    <t>Alahmad 2020</t>
  </si>
  <si>
    <t>Kuwait</t>
  </si>
  <si>
    <t>Daily measurements of ambient temperature were available from Kuwait Environmental Public Authority (KEPA). Data for the same study period is available as 24-h daily average of temperatures (in °C) from 15 different meteorological stations across Kuwait. Daily temperatures were calculated by averaging the measurements from each station.</t>
  </si>
  <si>
    <t>99th percentile temprature vs the minimum mortality temperature</t>
  </si>
  <si>
    <t>all-cause mortality</t>
  </si>
  <si>
    <t xml:space="preserve">   ( 1901–2009)</t>
  </si>
  <si>
    <t>Stockholm, Sweden</t>
  </si>
  <si>
    <t xml:space="preserve">2-day moving average of mean temperature &gt; 98th percentile  VS minimum mortality temperature (MMT)  </t>
  </si>
  <si>
    <t>0-1</t>
  </si>
  <si>
    <t xml:space="preserve">total mortality </t>
  </si>
  <si>
    <t>Chengguan</t>
  </si>
  <si>
    <t>Lhasa, China</t>
  </si>
  <si>
    <t>99th percentile of temperature relative to the 75th percentile of temperature</t>
  </si>
  <si>
    <t>non-accidental deaths</t>
  </si>
  <si>
    <t>Naidong</t>
  </si>
  <si>
    <t>Tibet, China</t>
  </si>
  <si>
    <t>Jiangzi</t>
  </si>
  <si>
    <t>Vulnerability to heat-related mortality in Latin America: a case-crossover study in Sao Paulo, Brazil, Santiago, Chile and Mexico City, Mexico</t>
  </si>
  <si>
    <t>Marie S O’Neill</t>
  </si>
  <si>
    <t>Santiago</t>
  </si>
  <si>
    <t>Santiago, Chile</t>
  </si>
  <si>
    <t>South America</t>
  </si>
  <si>
    <t>754 291 (total)</t>
  </si>
  <si>
    <t>monitors in Mexico City, São Paulo and Santiago</t>
  </si>
  <si>
    <t>95th percentile of same-day mean apparent temperature compared with days at 75th percentile</t>
  </si>
  <si>
    <t>All-cause mortality</t>
  </si>
  <si>
    <t>São Paulo</t>
  </si>
  <si>
    <t>São Paulo, Brazil</t>
  </si>
  <si>
    <t>Mexico</t>
  </si>
  <si>
    <t>Temporal variation in the effect of heat and the role of the Italian heat prevention plan</t>
  </si>
  <si>
    <t xml:space="preserve"> 1999-2002</t>
  </si>
  <si>
    <t xml:space="preserve"> F. de'Donato 2018</t>
  </si>
  <si>
    <t>Italy</t>
  </si>
  <si>
    <t>1900 (total)</t>
  </si>
  <si>
    <t xml:space="preserve"> National Center of Meteorology andClimatology (CNMCA) of the Italian Air Force </t>
  </si>
  <si>
    <t xml:space="preserve">99th percentile VS 75th of daily maximum apparent temperature </t>
  </si>
  <si>
    <t>mortality</t>
  </si>
  <si>
    <t xml:space="preserve"> 2005-2008</t>
  </si>
  <si>
    <t xml:space="preserve"> 2009-2012</t>
  </si>
  <si>
    <t xml:space="preserve"> 2013-2016</t>
  </si>
  <si>
    <t xml:space="preserve">99th percentileVS 75th of daily maximum apparent temperature </t>
  </si>
  <si>
    <t>Belgium</t>
  </si>
  <si>
    <t>Oceanic</t>
  </si>
  <si>
    <t xml:space="preserve">97.5th percentile  compared to minimum mortality temperature (MMT)  </t>
  </si>
  <si>
    <t>Social inequalities in heat-attributable mortality in the city of Turin, northwest of Italy: a time series analysis from 1982 to 2018</t>
  </si>
  <si>
    <t>Marta Ellena et al.</t>
  </si>
  <si>
    <t xml:space="preserve"> 65-74y men</t>
  </si>
  <si>
    <t>Turin, Italy</t>
  </si>
  <si>
    <t xml:space="preserve">MESCAN-SURFEX system </t>
  </si>
  <si>
    <t>99th percentile of daily summer temperatures  VS MMT</t>
  </si>
  <si>
    <t xml:space="preserve">RR </t>
  </si>
  <si>
    <t>75-84y men</t>
  </si>
  <si>
    <t>85+y men</t>
  </si>
  <si>
    <t xml:space="preserve"> 65-74y women</t>
  </si>
  <si>
    <t>75-84y women</t>
  </si>
  <si>
    <t>85+y women</t>
  </si>
  <si>
    <t>a highly dense network of 4,007 automatic weather stations (AWSs) across Zhejiang Province (2,430 AWSs) and its neighboring provinces (1,577 AWSs)</t>
  </si>
  <si>
    <t xml:space="preserve">99th temperature vs. MMT </t>
  </si>
  <si>
    <t>Mortality</t>
  </si>
  <si>
    <t>≥ 70 y</t>
  </si>
  <si>
    <r>
      <rPr>
        <sz val="11"/>
        <rFont val="Times New Roman"/>
        <charset val="134"/>
      </rPr>
      <t xml:space="preserve"> Tmax of that day exceeding the 90th percentile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both day and night</t>
    </r>
  </si>
  <si>
    <t>compound hot extremes-attributable injury mortality</t>
  </si>
  <si>
    <t>Barcelona, Spain</t>
  </si>
  <si>
    <t>99th Percentile versus 95th percentile</t>
  </si>
  <si>
    <t>&gt;= 85y - men</t>
  </si>
  <si>
    <t>&gt;= 85y - women</t>
  </si>
  <si>
    <t>≥ 99th percentile VS ≤ 1st percentile</t>
  </si>
  <si>
    <t>increasing from 75th to 99th percentile of mean temperature</t>
  </si>
  <si>
    <t>All subjects natural mortality</t>
  </si>
  <si>
    <t>Scotland</t>
  </si>
  <si>
    <t>UK</t>
  </si>
  <si>
    <t>99th of localised temperature distributions compared to the 90th percentile</t>
  </si>
  <si>
    <t>Suzhou, China</t>
  </si>
  <si>
    <t>99th percentile of temperature</t>
  </si>
  <si>
    <t>total non-accidental mortality</t>
  </si>
  <si>
    <t>Socio-environmental modifiers of heat-related mortality in eight Swiss cities: A case time series analysis</t>
  </si>
  <si>
    <t>Benedikt Wicki et al.</t>
  </si>
  <si>
    <t>≥ 75 y</t>
  </si>
  <si>
    <t>Swiss</t>
  </si>
  <si>
    <t>Switzerland</t>
  </si>
  <si>
    <t>53593(total)</t>
  </si>
  <si>
    <t>MeteoSwiss</t>
  </si>
  <si>
    <t>99th percentile (35 °C) of daily maximum temperature (Tmax) VS MMT</t>
  </si>
  <si>
    <t>All-cause mortality  </t>
  </si>
  <si>
    <t>Effect modifiers of the temperature-mortality association for general and older adults population of Brazil's metropolitan areas</t>
  </si>
  <si>
    <t>Aschidamini C 2025</t>
  </si>
  <si>
    <t>Goiânia</t>
  </si>
  <si>
    <t>Goiania, Brazil</t>
  </si>
  <si>
    <t>2000-2014</t>
  </si>
  <si>
    <t>Brazilian Mortality Information System (SIM, acronym in Portuguese), Brazilian Health Informatics Department (DATASUS, acronym in Portuguese)</t>
  </si>
  <si>
    <t>Minimum mortality percentile</t>
  </si>
  <si>
    <t>non-accidental mortality</t>
  </si>
  <si>
    <t>Vale do Rio Cuiabá</t>
  </si>
  <si>
    <t>Cuiaba, Brazil</t>
  </si>
  <si>
    <t>Aracaju</t>
  </si>
  <si>
    <t>Aracaju, Brazil</t>
  </si>
  <si>
    <t>Campina Grande</t>
  </si>
  <si>
    <t>Campina Grande, Brazil</t>
  </si>
  <si>
    <t>Cariri</t>
  </si>
  <si>
    <t>Cariri, Brazil</t>
  </si>
  <si>
    <t>Feira de Santana</t>
  </si>
  <si>
    <t>Bahia, Brazil</t>
  </si>
  <si>
    <t>Fortaleza</t>
  </si>
  <si>
    <t>Fortaleza, Brazil</t>
  </si>
  <si>
    <t>Grande São Luís</t>
  </si>
  <si>
    <t>Sao Luis, Brazil</t>
  </si>
  <si>
    <t>João Pessoa</t>
  </si>
  <si>
    <t>Joao Pessoa, Brazil</t>
  </si>
  <si>
    <t>Maceió</t>
  </si>
  <si>
    <t>Maceio, Brazil</t>
  </si>
  <si>
    <t>Natal</t>
  </si>
  <si>
    <t>Natal, Brazil</t>
  </si>
  <si>
    <t>Palmeira dos Índios</t>
  </si>
  <si>
    <t>Alagoas, Brazil</t>
  </si>
  <si>
    <t>Patos</t>
  </si>
  <si>
    <t>Paraiba, Brazil</t>
  </si>
  <si>
    <t>Recife</t>
  </si>
  <si>
    <t>Recife, Brazil</t>
  </si>
  <si>
    <t>Salvador</t>
  </si>
  <si>
    <t>Salvador, Brazil</t>
  </si>
  <si>
    <t>Sudoeste Maranhense</t>
  </si>
  <si>
    <t>Maranhao, Brazil</t>
  </si>
  <si>
    <t>Belém</t>
  </si>
  <si>
    <t>Belem, Brazil</t>
  </si>
  <si>
    <t>Capital</t>
  </si>
  <si>
    <t>Brasilia, Brazil</t>
  </si>
  <si>
    <t>Gurupi</t>
  </si>
  <si>
    <t>Tocantins, Brazil</t>
  </si>
  <si>
    <t>Macapá</t>
  </si>
  <si>
    <t>Macapa, Brazil</t>
  </si>
  <si>
    <t>Manaus</t>
  </si>
  <si>
    <t>Manaus, Brazil</t>
  </si>
  <si>
    <t>Palmas</t>
  </si>
  <si>
    <t>Palmas, Brazil</t>
  </si>
  <si>
    <t>Belo Horizonte</t>
  </si>
  <si>
    <t>Belo Horizonte, Brazil</t>
  </si>
  <si>
    <t>Grande Vitória</t>
  </si>
  <si>
    <t>Vitoria, Brazil</t>
  </si>
  <si>
    <t>RibeirãoPreto</t>
  </si>
  <si>
    <t>Sao Paulo State, Brazil</t>
  </si>
  <si>
    <t>Rio de Janeiro</t>
  </si>
  <si>
    <t>Sorocaba</t>
  </si>
  <si>
    <t>Vale do Aço</t>
  </si>
  <si>
    <t>Minas Gerais, Brazil</t>
  </si>
  <si>
    <t>Vale do Paraíba e Litoral Norte</t>
  </si>
  <si>
    <t>Campo Mourão</t>
  </si>
  <si>
    <t>Parana, Brazil</t>
  </si>
  <si>
    <t>Carbonífera</t>
  </si>
  <si>
    <t>Santa Catarina, Brazil</t>
  </si>
  <si>
    <t>Chapecó</t>
  </si>
  <si>
    <t>Contestado</t>
  </si>
  <si>
    <t>Curitiba</t>
  </si>
  <si>
    <t>Curitiba, Brazil</t>
  </si>
  <si>
    <t>Florianópolis</t>
  </si>
  <si>
    <t>Florianopolis, Brazil</t>
  </si>
  <si>
    <t>Lages</t>
  </si>
  <si>
    <t>Londrina</t>
  </si>
  <si>
    <t>Maringá</t>
  </si>
  <si>
    <t>Porto Alegre</t>
  </si>
  <si>
    <t>Porto Alegre, Brazil</t>
  </si>
  <si>
    <t>Serra Gaúcha</t>
  </si>
  <si>
    <t>Rio Grande do Sul, Brazil</t>
  </si>
  <si>
    <t>Vale do Itajaí</t>
  </si>
  <si>
    <t>65–89 y</t>
  </si>
  <si>
    <t xml:space="preserve"> 29 million(total)</t>
  </si>
  <si>
    <t>1972-1994</t>
  </si>
  <si>
    <t>A 48-year nationwide, individual-level dataset of daily mean temperature and mortality for all 47 prefectures in Japan</t>
  </si>
  <si>
    <t>Minimum mortality temperature (MMT)</t>
  </si>
  <si>
    <t xml:space="preserve">1996-2019
</t>
  </si>
  <si>
    <t xml:space="preserve">temperature-mortality </t>
  </si>
  <si>
    <t>Vulnerability to heat-related mortality and the effect of prevention measures: a time-stratified case-crossover study in Switzerland</t>
  </si>
  <si>
    <t>Ragettli MS 2024</t>
  </si>
  <si>
    <t>94049/320306</t>
  </si>
  <si>
    <t>2003-2016</t>
  </si>
  <si>
    <t>Temperature model by Flückiger et al. &amp; MeteoSwiss monitoring network</t>
  </si>
  <si>
    <t>Minimum mortality temperature</t>
  </si>
  <si>
    <t>124494/320306</t>
  </si>
  <si>
    <t>70 y</t>
  </si>
  <si>
    <t>Multi-country</t>
  </si>
  <si>
    <t>NA (Avg 18 years)</t>
  </si>
  <si>
    <t>Local authorities in each country</t>
  </si>
  <si>
    <t>85 y</t>
  </si>
  <si>
    <t>537761/634530</t>
  </si>
  <si>
    <t>2008-2022</t>
  </si>
  <si>
    <t>National Meteorological Data Network of the Chinese Meteorological Bureau</t>
  </si>
  <si>
    <t>97.5th percentile of temperature distribution (31.9°C)</t>
  </si>
  <si>
    <t>All-cause non-accidental mortality</t>
  </si>
  <si>
    <t>Impacts of extreme heat on emergency medical service calls in King County, Washington, 2007-2012: relative risk and time series analyses of basic and advanced life support</t>
  </si>
  <si>
    <t>Miriam 2016</t>
  </si>
  <si>
    <t>Washington, USA</t>
  </si>
  <si>
    <t>Washington DC, USA</t>
  </si>
  <si>
    <t>National Oceanic and Atmospheric Administration’s Global Historical Climatology Network–Daily (GHCN-Daily) database</t>
  </si>
  <si>
    <t>average daily temperature &gt; 95th percentile</t>
  </si>
  <si>
    <t>emergency medical services</t>
  </si>
  <si>
    <t>emergency</t>
  </si>
  <si>
    <t>average daily temperature &gt; 99th percentile</t>
  </si>
  <si>
    <t>daily mean temperature &gt; 99 percentile  VS mediate temperature</t>
  </si>
  <si>
    <t>0-10</t>
  </si>
  <si>
    <t>emergency department attendance</t>
  </si>
  <si>
    <t>Lanzhou, China</t>
  </si>
  <si>
    <t>Lanzhou Central Meteorological Station</t>
  </si>
  <si>
    <t>99th percentile (28.0°C)</t>
  </si>
  <si>
    <t xml:space="preserve">respiratory emergency room (ER) visits </t>
  </si>
  <si>
    <t>The relationship between extreme temperature and emergency incidences: a time series analysis in Shenzhen, China</t>
  </si>
  <si>
    <t>Yinsheng Guo, et</t>
  </si>
  <si>
    <t>Shenzhen, China</t>
  </si>
  <si>
    <t>673273(toatl)</t>
  </si>
  <si>
    <t>Meteorological Bureau of Shenzhen Municipality</t>
  </si>
  <si>
    <t>daily mean temperature at or above the 90th/95th/97.5th/99th percent of the year-round distribution  VS normal daily temperature</t>
  </si>
  <si>
    <t>CVD emergency</t>
  </si>
  <si>
    <t>The role of older adult-focused social vulnerability on the relationship between temperature and emergency department attendance in a subtropical Asian city</t>
  </si>
  <si>
    <t>Janice Ying-en Ho, et</t>
  </si>
  <si>
    <t>Hong Kong Observatory monitoring station at the city center</t>
  </si>
  <si>
    <t xml:space="preserve">99th percentile of mean temperature (31.1 °C, compared to 50th percentile 28.7 °C) </t>
  </si>
  <si>
    <t xml:space="preserve"> A&amp;E attendance</t>
  </si>
  <si>
    <t>Hospital emergency room visits for respiratory diseases</t>
  </si>
  <si>
    <t>Heat and hospital admission via the emergency department for people with intellectual disability, autism, and mental disorders in South Korea: a nationwide, time-stratified, case-crossover study</t>
  </si>
  <si>
    <t xml:space="preserve">Jinah Park </t>
  </si>
  <si>
    <t xml:space="preserve"> Google Earth Engine with the ERA5-Land dataset</t>
  </si>
  <si>
    <t>99th percentile temperature compared with the district 75th percentile temperature</t>
  </si>
  <si>
    <t>0-5</t>
  </si>
  <si>
    <t>emergency department( people with intellectual disablity)</t>
  </si>
  <si>
    <t>emergency department(people with mental disorders)</t>
  </si>
  <si>
    <t>Association between heat and hospital admissions in people with disabilities in South Korea: a nationwide, case-crossover study</t>
  </si>
  <si>
    <t>Jinah Park MPH, et</t>
  </si>
  <si>
    <t>23792with disabilities</t>
  </si>
  <si>
    <t>emergency department(with disabilities)</t>
  </si>
  <si>
    <t>187874 without disabilities</t>
  </si>
  <si>
    <t>emergency department(without disabilities)</t>
  </si>
  <si>
    <t>Rasht, Iran</t>
  </si>
  <si>
    <t>the 99th temperature percentile compared to the 75th temperature percentile.</t>
  </si>
  <si>
    <t>hot temperature on ambulance attendance  due to cardiovascular diseases</t>
  </si>
  <si>
    <t xml:space="preserve">0-21 </t>
  </si>
  <si>
    <t>Emergency Hospitalization for Pneumonia</t>
  </si>
  <si>
    <t>Ambient heat and risks of emergency department visits among adults in the United States: time stratified case crossover study</t>
  </si>
  <si>
    <t>Sun S</t>
  </si>
  <si>
    <t>maximum daily temperature equal to the 95th centile of the warm season temperature distribution locally  VS  minimum mortality temperature (MMT)</t>
  </si>
  <si>
    <t xml:space="preserve">emergency department visits </t>
  </si>
  <si>
    <t>Ambient heat exposure patterns and emergency department visits and hospitalizations among medicare beneficiaries 2008-2019</t>
  </si>
  <si>
    <t xml:space="preserve"> Parameter-elevation Relationships on Independent Slopes (PRISM) model </t>
  </si>
  <si>
    <t>All-cause Emergency department visits</t>
  </si>
  <si>
    <t>Temperature-sensitive morbidity indicator: consequence from the increased ambulance dispatches associated with heat and cold exposure</t>
  </si>
  <si>
    <t>Wang Q et al.</t>
  </si>
  <si>
    <t xml:space="preserve"> China Meteorological Data Sharing Service System</t>
  </si>
  <si>
    <t>99th percentile of the temperature distribution VS optimum temperature</t>
  </si>
  <si>
    <t xml:space="preserve">Ambulance dispatches </t>
  </si>
  <si>
    <t>60-74 y</t>
  </si>
  <si>
    <t>95th percentile temperature vs  lowest risk temperature (50th)</t>
  </si>
  <si>
    <t xml:space="preserve">emergency department visits costs </t>
  </si>
  <si>
    <r>
      <rPr>
        <sz val="11"/>
        <rFont val="Times New Roman"/>
        <charset val="134"/>
      </rPr>
      <t>97.5th percentile (29 </t>
    </r>
    <r>
      <rPr>
        <vertAlign val="superscript"/>
        <sz val="11"/>
        <rFont val="Cambria Math"/>
        <charset val="134"/>
      </rPr>
      <t>∘</t>
    </r>
    <r>
      <rPr>
        <sz val="11"/>
        <rFont val="Times New Roman"/>
        <charset val="134"/>
      </rPr>
      <t xml:space="preserve">C)  realative to minimum ER visit temperature (MERT) </t>
    </r>
  </si>
  <si>
    <t>Emergency room (ER) visits</t>
  </si>
  <si>
    <t>Wuxi,China</t>
  </si>
  <si>
    <t>Wuxi, China</t>
  </si>
  <si>
    <t>82672(total)</t>
  </si>
  <si>
    <t>Wuxi Meteorological Bureau</t>
  </si>
  <si>
    <t>97.5 th percentile of of nighttime daily mean temperature</t>
  </si>
  <si>
    <t xml:space="preserve"> optimum AT</t>
  </si>
  <si>
    <t>respiratory  emergency ambulance calls</t>
  </si>
  <si>
    <t>cardiovascular emergency ambulance calls</t>
  </si>
  <si>
    <t>60-69y</t>
  </si>
  <si>
    <t>Czechia</t>
  </si>
  <si>
    <t>Czech Republic</t>
  </si>
  <si>
    <t>1385636(total)</t>
  </si>
  <si>
    <t>European Climate Assessment and Dataset</t>
  </si>
  <si>
    <t xml:space="preserve"> minimum ambulance dispatches temperature (MADT)</t>
  </si>
  <si>
    <t>ambulance dispatches</t>
  </si>
  <si>
    <t>70-79y</t>
  </si>
  <si>
    <t>1572001(total)</t>
  </si>
  <si>
    <t>1803639(total)</t>
  </si>
  <si>
    <t>Emergency</t>
  </si>
  <si>
    <t>Risk, Attributable Fraction and Attributable Number of Cause-Specific Heat-Related Emergency Hospital Admissions in Switzerland</t>
  </si>
  <si>
    <t>Schulte F 2024</t>
  </si>
  <si>
    <t>1998-2019</t>
  </si>
  <si>
    <t>IDAweb database, Swiss Federal Office of Meteorology and Climatology (MeteoSwiss)</t>
  </si>
  <si>
    <t>Disease-specific reference temperature</t>
  </si>
  <si>
    <t>Total</t>
  </si>
  <si>
    <t xml:space="preserve">75–84 y </t>
  </si>
  <si>
    <t>≥85 y</t>
  </si>
  <si>
    <t>65+ y</t>
  </si>
  <si>
    <t>USA (California)</t>
  </si>
  <si>
    <t>California, USA</t>
  </si>
  <si>
    <t>8744001/8744001</t>
  </si>
  <si>
    <t>2012-2019</t>
  </si>
  <si>
    <t>PRISM Climate Group of Oregon State University</t>
  </si>
  <si>
    <t>99th percentile of maximum temperature for 1 day</t>
  </si>
  <si>
    <t>Non-extreme heat days</t>
  </si>
  <si>
    <t>Emergency Department visits</t>
  </si>
  <si>
    <t>&gt;74</t>
  </si>
  <si>
    <t>2013-2020</t>
  </si>
  <si>
    <t>European Centre for Medium-Range Weather Forecasts</t>
  </si>
  <si>
    <t>&gt;97.5th centile of temperature</t>
  </si>
  <si>
    <t>0-13</t>
  </si>
  <si>
    <t>Sudden cardiac arrest </t>
  </si>
  <si>
    <t>cardiovascular mortality</t>
  </si>
  <si>
    <t>circulatory system diseases mortality</t>
  </si>
  <si>
    <t>Brazil</t>
  </si>
  <si>
    <t>99th percentiles of the temperature distribution compared to the minimum mortality temperature</t>
  </si>
  <si>
    <t>Circulatory mortality</t>
  </si>
  <si>
    <t>Association of high ambient temperature with daily hospitalization for cardiorespiratory diseases in Brazil: A national time-series study between 2008 and 2018</t>
  </si>
  <si>
    <t>Weeberb J. Requia, et</t>
  </si>
  <si>
    <t xml:space="preserve"> European Centre for Medium-Range Weather Forecasts</t>
  </si>
  <si>
    <t>The role of extreme temperature in cause-specific acute cardiovascular mortality in Switzerland: A case-crossover study</t>
  </si>
  <si>
    <t>Apolline Saucy ,et</t>
  </si>
  <si>
    <t>MeteoSwiss (Grid-Data Products)</t>
  </si>
  <si>
    <t xml:space="preserve">the 99th percentile of the annual Tmean distribution vs 20 °C </t>
  </si>
  <si>
    <t>99th percentile of temperature relative to 90th percentile of temperature</t>
  </si>
  <si>
    <t>0-15</t>
  </si>
  <si>
    <t xml:space="preserve">mortality from coronary heart disease  </t>
  </si>
  <si>
    <t>Ambient temperature and cardiovascular disease-related emergency room visits in Lanzhou, China from 2013 to 2019: A time-series study</t>
  </si>
  <si>
    <t>Yilin Ye </t>
  </si>
  <si>
    <t>The Gansu Meteorological Bureau </t>
  </si>
  <si>
    <t xml:space="preserve">95th percentile of temperature VS minimum morbidity temperature (MMT) </t>
  </si>
  <si>
    <t>CVD</t>
  </si>
  <si>
    <t>IHD</t>
  </si>
  <si>
    <t>HRD</t>
  </si>
  <si>
    <t>HF</t>
  </si>
  <si>
    <t>CD</t>
  </si>
  <si>
    <t>Effect of built environment on the association between nighttime heat exposure and mortality in stroke patients: A case-crossover study in Shandong Province, China</t>
  </si>
  <si>
    <t>Qiyong Cao 2025</t>
  </si>
  <si>
    <t>Shandong, China</t>
  </si>
  <si>
    <t>Shandong Province</t>
  </si>
  <si>
    <t>25726(total)</t>
  </si>
  <si>
    <t>2013-2019</t>
  </si>
  <si>
    <t>China Meteorological Administration Land Data Assimilation System (CLDAS, version 2.0)</t>
  </si>
  <si>
    <t>95th percentile of of nighttime daily mean temperature</t>
  </si>
  <si>
    <t>Case days were defined as the date of death, and control days</t>
  </si>
  <si>
    <t>CVD Mortality</t>
  </si>
  <si>
    <t>17259(total)</t>
  </si>
  <si>
    <t>Stroke Mortality</t>
  </si>
  <si>
    <t>Shanghai, China</t>
  </si>
  <si>
    <t>251562(total)</t>
  </si>
  <si>
    <t>2005-2021</t>
  </si>
  <si>
    <t>ECMWF atmospheric reanalysis dataset (ERA5)</t>
  </si>
  <si>
    <t>Cerebrovascular diseases mortality</t>
  </si>
  <si>
    <t>Ischemic stroke mortality</t>
  </si>
  <si>
    <t>Cardiovascular mortality</t>
  </si>
  <si>
    <t xml:space="preserve"> circulatory system diseases mortality</t>
  </si>
  <si>
    <t>The association of extreme temperatures and the incidence of tuberculosis in Japan</t>
  </si>
  <si>
    <t>Daisuke Onozuka, et</t>
  </si>
  <si>
    <t>Fukuoka, Japan</t>
  </si>
  <si>
    <t>the average of the mean temperature over lags of 0 to 2 weeks was above the 95th percentile (29.2 °C) at 2008-2012</t>
  </si>
  <si>
    <t>incidence of tuberculosis</t>
  </si>
  <si>
    <t>tuberculosis morbidity</t>
  </si>
  <si>
    <t>2014-2021</t>
  </si>
  <si>
    <t>Prognosis website</t>
  </si>
  <si>
    <t>95th percentile mean temprature</t>
  </si>
  <si>
    <t>tuberculosis incidence</t>
  </si>
  <si>
    <t>Summertime extreme heat events and increased risk of acute myocardial infarction hospitalizations</t>
  </si>
  <si>
    <t>Fisher, J</t>
  </si>
  <si>
    <t xml:space="preserve">National Climatic Data Center </t>
  </si>
  <si>
    <t>Above 95th percentile values of daily maximum temperature (TMAX)</t>
  </si>
  <si>
    <t>acute myocardial infarction</t>
  </si>
  <si>
    <t>circulatory system diseases morbidity</t>
  </si>
  <si>
    <t xml:space="preserve">OR </t>
  </si>
  <si>
    <t>Nocturnal heat exposure and stroke risk</t>
  </si>
  <si>
    <t>Cheng He, et</t>
  </si>
  <si>
    <t>Augsburg, Germany</t>
  </si>
  <si>
    <t>642(total)</t>
  </si>
  <si>
    <t xml:space="preserve"> local meteorological station</t>
  </si>
  <si>
    <t>above 95th percentile of  daily minimum temperature 14.6°C in hot night days vs 97.5th percentile  relative to non-hot night days  2006-2012</t>
  </si>
  <si>
    <t>Haemorrhagic strokes</t>
  </si>
  <si>
    <t>above the threshold as the 95th percentile of daily minimum temperature 14.6°C in hot night days vs 97.5th percentile  relative to non-hot night days  2006-2012</t>
  </si>
  <si>
    <t>10395(total)</t>
  </si>
  <si>
    <t>above the threshold as the 95th percentile of daily minimum temperature 14.6°C in hot night days vs 97.5th percentile  relative to non-hot night days  2013-2020</t>
  </si>
  <si>
    <t>Ischaemic strokes and TIA</t>
  </si>
  <si>
    <t xml:space="preserve"> Shenzhen Meteorological Service Center</t>
  </si>
  <si>
    <t>90th percentiles of Apparent Temperature vs mediate temperature</t>
  </si>
  <si>
    <t>IS(ischaemic stroke) in hospitial</t>
  </si>
  <si>
    <t>ICH( intracerebral haemorrhage)</t>
  </si>
  <si>
    <t>99th VS 75th percentiles of temperature distribution</t>
  </si>
  <si>
    <t>ischemic stroke</t>
  </si>
  <si>
    <t>hemorrhagic stroke</t>
  </si>
  <si>
    <t>Mortality and morbidity of asthma and chronic obstructive pulmonary disease associated with ambient environment in metropolitans in Taiwan</t>
  </si>
  <si>
    <t>Yasmin Zafirah</t>
  </si>
  <si>
    <t>National Health Insurance database</t>
  </si>
  <si>
    <t>99th percentile of mean temperature VS optimum temperature</t>
  </si>
  <si>
    <t xml:space="preserve"> circulatory system diseases morbidity</t>
  </si>
  <si>
    <t>Shenzhen Meteorological Service Center</t>
  </si>
  <si>
    <t>Cardiovascular morbidity</t>
  </si>
  <si>
    <t>Spatiotemporal variation in heat-related out-of-hospital cardiac arrest during the summer in Japan</t>
  </si>
  <si>
    <t>99th VS minimum morbidity percentile (MMP):51th</t>
  </si>
  <si>
    <t>out-of-hospital cardiac arrest(OHCA) incidence</t>
  </si>
  <si>
    <t>out-of-hospital cardiac arrest incidence</t>
  </si>
  <si>
    <t>75-110y</t>
  </si>
  <si>
    <r>
      <rPr>
        <sz val="11"/>
        <color theme="1"/>
        <rFont val="Times New Roman"/>
        <charset val="134"/>
      </rPr>
      <t>Study design (cross-section/ cohort/ RCT</t>
    </r>
    <r>
      <rPr>
        <sz val="11"/>
        <rFont val="等线"/>
        <charset val="134"/>
      </rPr>
      <t>）</t>
    </r>
  </si>
  <si>
    <t>High temperature and mental health in 3.3 million adults living in Barcelona metropolitan area: a 12-year time series analysis of primary care data</t>
  </si>
  <si>
    <t>Andrea Pistillo 2025</t>
  </si>
  <si>
    <t>60-79y</t>
  </si>
  <si>
    <t>2011-2012</t>
  </si>
  <si>
    <t>Meteorological Service of Catalonia</t>
  </si>
  <si>
    <t>temperature of minimum risk</t>
  </si>
  <si>
    <t>Anxiety  morbidity</t>
  </si>
  <si>
    <t>mental disorders morbidity</t>
  </si>
  <si>
    <t>Anxiolytic  morbidity</t>
  </si>
  <si>
    <t>Sick leaves morbidity</t>
  </si>
  <si>
    <t>Depression  morbidity</t>
  </si>
  <si>
    <t>Antidepressant  morbidity</t>
  </si>
  <si>
    <t>Sick leaves for depression morbidity</t>
  </si>
  <si>
    <t>Lake Geneva</t>
  </si>
  <si>
    <t xml:space="preserve"> Cohort Study</t>
  </si>
  <si>
    <t xml:space="preserve"> 99th percentile compared with 10th percentile</t>
  </si>
  <si>
    <t>0-2</t>
  </si>
  <si>
    <t>Incidence of suicide</t>
  </si>
  <si>
    <t>suicide</t>
  </si>
  <si>
    <t>Midland</t>
  </si>
  <si>
    <t>North-West</t>
  </si>
  <si>
    <t>Zurich</t>
  </si>
  <si>
    <t>Ticino</t>
  </si>
  <si>
    <t>European Center for Medium-Range Weather Forecasts</t>
  </si>
  <si>
    <t>90th, 92.5th, 95th, and 97.5th day percentiles of the daily maximum temperature  (daytime thermal stress intensity)</t>
  </si>
  <si>
    <t>0-12</t>
  </si>
  <si>
    <t>Dementia-Related Deaths</t>
  </si>
  <si>
    <t>nervous system mortality</t>
  </si>
  <si>
    <t>greater than the 97.5th percentile of the weekly maximum temperature vs minimum mortality temperature (MMT)</t>
  </si>
  <si>
    <t xml:space="preserve">nervous system diseases mortality </t>
  </si>
  <si>
    <t>respiratory mortality</t>
  </si>
  <si>
    <t>respiratory system diseases mortality</t>
  </si>
  <si>
    <t>Hulunbuir, China</t>
  </si>
  <si>
    <t>China Meteorological Science data sharing Service Network</t>
  </si>
  <si>
    <t>above the 99th percentile of daily average temperature</t>
  </si>
  <si>
    <t>respiratory disease deaths</t>
  </si>
  <si>
    <t>Respiratory mortality</t>
  </si>
  <si>
    <t>Association of non-optimum temperature, heatwaves and cold spells with chronic obstructive pulmonary disease mortality: A nationwide time-stratified case-crossover study</t>
  </si>
  <si>
    <t>Kexin Yu 2025</t>
  </si>
  <si>
    <r>
      <rPr>
        <sz val="11"/>
        <rFont val="Times New Roman"/>
        <charset val="134"/>
      </rPr>
      <t>2075315(total</t>
    </r>
    <r>
      <rPr>
        <sz val="11"/>
        <rFont val="等线"/>
        <charset val="134"/>
      </rPr>
      <t>）</t>
    </r>
  </si>
  <si>
    <t>99th percentile of mean temperature</t>
  </si>
  <si>
    <t>COPD mortality</t>
  </si>
  <si>
    <r>
      <rPr>
        <sz val="11"/>
        <rFont val="宋体"/>
        <charset val="134"/>
      </rPr>
      <t>标准化地点</t>
    </r>
  </si>
  <si>
    <t>65-74y</t>
  </si>
  <si>
    <t>21118(total)</t>
  </si>
  <si>
    <t>Resource and Environmental Science Data Platform of China</t>
  </si>
  <si>
    <t>95 percentile of daily mean temperature</t>
  </si>
  <si>
    <t>Parkinson's disease morbidity</t>
  </si>
  <si>
    <t>nervous system morbidity</t>
  </si>
  <si>
    <t>38279(total)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</si>
</sst>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8">
    <font>
      <sz val="11"/>
      <color theme="1"/>
      <name val="宋体"/>
      <charset val="134"/>
      <scheme val="minor"/>
    </font>
    <font>
      <sz val="1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  <font>
      <sz val="11"/>
      <name val="等线"/>
      <charset val="134"/>
    </font>
    <font>
      <u/>
      <sz val="11"/>
      <name val="Times New Roman"/>
      <charset val="134"/>
    </font>
    <font>
      <vertAlign val="superscript"/>
      <sz val="11"/>
      <name val="Cambria Math"/>
      <charset val="134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1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Fill="1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right" vertical="center"/>
    </xf>
    <xf numFmtId="0" fontId="1" fillId="0" borderId="1" xfId="0" applyFont="1" applyFill="1" applyBorder="1" applyAlignment="1">
      <alignment horizontal="center" vertical="center"/>
    </xf>
    <xf numFmtId="176" fontId="1" fillId="0" borderId="0" xfId="0" applyNumberFormat="1" applyFont="1" applyFill="1">
      <alignment vertical="center"/>
    </xf>
    <xf numFmtId="0" fontId="0" fillId="0" borderId="0" xfId="0">
      <alignment vertical="center"/>
    </xf>
    <xf numFmtId="0" fontId="1" fillId="0" borderId="0" xfId="0" applyFont="1" applyFill="1" quotePrefix="1">
      <alignment vertical="center"/>
    </xf>
    <xf numFmtId="0" fontId="1" fillId="0" borderId="0" xfId="0" applyFont="1" quotePrefix="1">
      <alignment vertical="center"/>
    </xf>
    <xf numFmtId="0" fontId="2" fillId="0" borderId="0" xfId="0" applyFont="1" applyAlignment="1" quotePrefix="1">
      <alignment vertical="center"/>
    </xf>
    <xf numFmtId="0" fontId="1" fillId="0" borderId="0" xfId="0" applyFont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7668;&#20505;version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rticles"/>
      <sheetName val="Sheet1"/>
    </sheetNames>
    <sheetDataSet>
      <sheetData sheetId="0"/>
      <sheetData sheetId="1">
        <row r="1">
          <cell r="A1" t="str">
            <v>不确定的可以空着其实</v>
          </cell>
          <cell r="B1" t="str">
            <v>Standardized Location</v>
          </cell>
          <cell r="C1" t="str">
            <v>Continent</v>
          </cell>
          <cell r="D1" t="str">
            <v>Refined Climate Zone</v>
          </cell>
          <cell r="E1" t="str">
            <v>Income Level</v>
          </cell>
        </row>
        <row r="2">
          <cell r="A2" t="str">
            <v>--- China ---</v>
          </cell>
          <cell r="B2" t="str">
            <v>  </v>
          </cell>
          <cell r="C2" t="str">
            <v>  </v>
          </cell>
          <cell r="D2" t="str">
            <v>  </v>
          </cell>
          <cell r="E2" t="str">
            <v>  </v>
          </cell>
        </row>
        <row r="3">
          <cell r="A3" t="str">
            <v>China</v>
          </cell>
          <cell r="B3" t="str">
            <v>China</v>
          </cell>
          <cell r="C3" t="str">
            <v>Asia</v>
          </cell>
          <cell r="D3" t="str">
            <v>Mixed</v>
          </cell>
          <cell r="E3" t="str">
            <v>Upper-middle income</v>
          </cell>
        </row>
        <row r="4">
          <cell r="A4" t="str">
            <v>China (National)</v>
          </cell>
          <cell r="B4" t="str">
            <v>China</v>
          </cell>
          <cell r="C4" t="str">
            <v>Asia</v>
          </cell>
          <cell r="D4" t="str">
            <v>Mixed</v>
          </cell>
          <cell r="E4" t="str">
            <v>Upper-middle income</v>
          </cell>
        </row>
        <row r="5">
          <cell r="A5" t="str">
            <v>Beijing, China</v>
          </cell>
          <cell r="B5" t="str">
            <v>Beijing, China</v>
          </cell>
          <cell r="C5" t="str">
            <v>Asia</v>
          </cell>
          <cell r="D5" t="str">
            <v>Continental Monsoon</v>
          </cell>
          <cell r="E5" t="str">
            <v>Upper-middle income</v>
          </cell>
        </row>
        <row r="6">
          <cell r="A6" t="str">
            <v>Tianjin, China</v>
          </cell>
          <cell r="B6" t="str">
            <v>Tianjin, China</v>
          </cell>
          <cell r="C6" t="str">
            <v>Asia</v>
          </cell>
          <cell r="D6" t="str">
            <v>Continental Monsoon</v>
          </cell>
          <cell r="E6" t="str">
            <v>Upper-middle income</v>
          </cell>
        </row>
        <row r="7">
          <cell r="A7" t="str">
            <v>Harbin, China</v>
          </cell>
          <cell r="B7" t="str">
            <v>Harbin, China</v>
          </cell>
          <cell r="C7" t="str">
            <v>Asia</v>
          </cell>
          <cell r="D7" t="str">
            <v>Continental Monsoon</v>
          </cell>
          <cell r="E7" t="str">
            <v>Upper-middle income</v>
          </cell>
        </row>
        <row r="8">
          <cell r="A8" t="str">
            <v>Changchun, China</v>
          </cell>
          <cell r="B8" t="str">
            <v>Changchun, China</v>
          </cell>
          <cell r="C8" t="str">
            <v>Asia</v>
          </cell>
          <cell r="D8" t="str">
            <v>Continental Monsoon</v>
          </cell>
          <cell r="E8" t="str">
            <v>Upper-middle income</v>
          </cell>
        </row>
        <row r="9">
          <cell r="A9" t="str">
            <v>Jinan, China</v>
          </cell>
          <cell r="B9" t="str">
            <v>Jinan, China</v>
          </cell>
          <cell r="C9" t="str">
            <v>Asia</v>
          </cell>
          <cell r="D9" t="str">
            <v>Continental Monsoon</v>
          </cell>
          <cell r="E9" t="str">
            <v>Upper-middle income</v>
          </cell>
        </row>
        <row r="10">
          <cell r="A10" t="str">
            <v>Zibo, China</v>
          </cell>
          <cell r="B10" t="str">
            <v>Zibo, China</v>
          </cell>
          <cell r="C10" t="str">
            <v>Asia</v>
          </cell>
          <cell r="D10" t="str">
            <v>Continental Monsoon</v>
          </cell>
          <cell r="E10" t="str">
            <v>Upper-middle income</v>
          </cell>
        </row>
        <row r="11">
          <cell r="A11" t="str">
            <v>Shandong, China</v>
          </cell>
          <cell r="B11" t="str">
            <v>Shandong Province</v>
          </cell>
          <cell r="C11" t="str">
            <v>Asia</v>
          </cell>
          <cell r="D11" t="str">
            <v>Continental Monsoon</v>
          </cell>
          <cell r="E11" t="str">
            <v>Upper-middle income</v>
          </cell>
        </row>
        <row r="12">
          <cell r="A12" t="str">
            <v>Shanghai, China</v>
          </cell>
          <cell r="B12" t="str">
            <v>Shanghai, China</v>
          </cell>
          <cell r="C12" t="str">
            <v>Asia</v>
          </cell>
          <cell r="D12" t="str">
            <v>Humid Subtropical</v>
          </cell>
          <cell r="E12" t="str">
            <v>Upper-middle income</v>
          </cell>
        </row>
        <row r="13">
          <cell r="A13" t="str">
            <v>Shenzhen, China</v>
          </cell>
          <cell r="B13" t="str">
            <v>Shenzhen, China</v>
          </cell>
          <cell r="C13" t="str">
            <v>Asia</v>
          </cell>
          <cell r="D13" t="str">
            <v>Humid Subtropical</v>
          </cell>
          <cell r="E13" t="str">
            <v>Upper-middle income</v>
          </cell>
        </row>
        <row r="14">
          <cell r="A14" t="str">
            <v>Guangzhou, China</v>
          </cell>
          <cell r="B14" t="str">
            <v>Guangzhou, China</v>
          </cell>
          <cell r="C14" t="str">
            <v>Asia</v>
          </cell>
          <cell r="D14" t="str">
            <v>Humid Subtropical</v>
          </cell>
          <cell r="E14" t="str">
            <v>Upper-middle income</v>
          </cell>
        </row>
        <row r="15">
          <cell r="A15" t="str">
            <v>Hong Kong, China</v>
          </cell>
          <cell r="B15" t="str">
            <v>Hong Kong, China</v>
          </cell>
          <cell r="C15" t="str">
            <v>Asia</v>
          </cell>
          <cell r="D15" t="str">
            <v>Humid Subtropical</v>
          </cell>
          <cell r="E15" t="str">
            <v>High income</v>
          </cell>
        </row>
        <row r="16">
          <cell r="A16" t="str">
            <v>Nanjing, China</v>
          </cell>
          <cell r="B16" t="str">
            <v>Nanjing, China</v>
          </cell>
          <cell r="C16" t="str">
            <v>Asia</v>
          </cell>
          <cell r="D16" t="str">
            <v>Humid Subtropical</v>
          </cell>
          <cell r="E16" t="str">
            <v>Upper-middle income</v>
          </cell>
        </row>
        <row r="17">
          <cell r="A17" t="str">
            <v>Suzhou, China</v>
          </cell>
          <cell r="B17" t="str">
            <v>Suzhou, China</v>
          </cell>
          <cell r="C17" t="str">
            <v>Asia</v>
          </cell>
          <cell r="D17" t="str">
            <v>Humid Subtropical</v>
          </cell>
          <cell r="E17" t="str">
            <v>Upper-middle income</v>
          </cell>
        </row>
        <row r="18">
          <cell r="A18" t="str">
            <v>Hefei, China</v>
          </cell>
          <cell r="B18" t="str">
            <v>Hefei, China</v>
          </cell>
          <cell r="C18" t="str">
            <v>Asia</v>
          </cell>
          <cell r="D18" t="str">
            <v>Humid Subtropical</v>
          </cell>
          <cell r="E18" t="str">
            <v>Upper-middle income</v>
          </cell>
        </row>
        <row r="19">
          <cell r="A19" t="str">
            <v>Wuxi,China</v>
          </cell>
          <cell r="B19" t="str">
            <v>Wuxi, China</v>
          </cell>
          <cell r="C19" t="str">
            <v>Asia</v>
          </cell>
          <cell r="D19" t="str">
            <v>Humid Subtropical</v>
          </cell>
          <cell r="E19" t="str">
            <v>Upper-middle income</v>
          </cell>
        </row>
        <row r="20">
          <cell r="A20" t="str">
            <v>Yancheng, China</v>
          </cell>
          <cell r="B20" t="str">
            <v>Yancheng, China</v>
          </cell>
          <cell r="C20" t="str">
            <v>Asia</v>
          </cell>
          <cell r="D20" t="str">
            <v>Humid Subtropical</v>
          </cell>
          <cell r="E20" t="str">
            <v>Upper-middle income</v>
          </cell>
        </row>
        <row r="21">
          <cell r="A21" t="str">
            <v>Ningbo, China</v>
          </cell>
          <cell r="B21" t="str">
            <v>Ningbo, China</v>
          </cell>
          <cell r="C21" t="str">
            <v>Asia</v>
          </cell>
          <cell r="D21" t="str">
            <v>Humid Subtropical</v>
          </cell>
          <cell r="E21" t="str">
            <v>Upper-middle income</v>
          </cell>
        </row>
        <row r="22">
          <cell r="A22" t="str">
            <v>Jiangsu, China</v>
          </cell>
          <cell r="B22" t="str">
            <v>Jiangsu Province</v>
          </cell>
          <cell r="C22" t="str">
            <v>Asia</v>
          </cell>
          <cell r="D22" t="str">
            <v>Humid Subtropical</v>
          </cell>
          <cell r="E22" t="str">
            <v>Upper-middle income</v>
          </cell>
        </row>
        <row r="23">
          <cell r="A23" t="str">
            <v>Yuxi, China</v>
          </cell>
          <cell r="B23" t="str">
            <v>Yuxi, China</v>
          </cell>
          <cell r="C23" t="str">
            <v>Asia</v>
          </cell>
          <cell r="D23" t="str">
            <v>Humid Subtropical</v>
          </cell>
          <cell r="E23" t="str">
            <v>Upper-middle income</v>
          </cell>
        </row>
        <row r="24">
          <cell r="A24" t="str">
            <v>Guiyang, China</v>
          </cell>
          <cell r="B24" t="str">
            <v>Guiyang, China</v>
          </cell>
          <cell r="C24" t="str">
            <v>Asia</v>
          </cell>
          <cell r="D24" t="str">
            <v>Humid Subtropical</v>
          </cell>
          <cell r="E24" t="str">
            <v>Upper-middle income</v>
          </cell>
        </row>
        <row r="25">
          <cell r="A25" t="str">
            <v>Panzhihua, China</v>
          </cell>
          <cell r="B25" t="str">
            <v>Panzhihua, China</v>
          </cell>
          <cell r="C25" t="str">
            <v>Asia</v>
          </cell>
          <cell r="D25" t="str">
            <v>Humid Subtropical</v>
          </cell>
          <cell r="E25" t="str">
            <v>Upper-middle income</v>
          </cell>
        </row>
        <row r="26">
          <cell r="A26" t="str">
            <v>Lanzhou, China</v>
          </cell>
          <cell r="B26" t="str">
            <v>Lanzhou, China</v>
          </cell>
          <cell r="C26" t="str">
            <v>Asia</v>
          </cell>
          <cell r="D26" t="str">
            <v>Semi-arid</v>
          </cell>
          <cell r="E26" t="str">
            <v>Upper-middle income</v>
          </cell>
        </row>
        <row r="27">
          <cell r="A27" t="str">
            <v>Zhangye, China</v>
          </cell>
          <cell r="B27" t="str">
            <v>Zhangye, China</v>
          </cell>
          <cell r="C27" t="str">
            <v>Asia</v>
          </cell>
          <cell r="D27" t="str">
            <v>Arid</v>
          </cell>
          <cell r="E27" t="str">
            <v>Upper-middle income</v>
          </cell>
        </row>
        <row r="28">
          <cell r="A28" t="str">
            <v>Jiuquan, China</v>
          </cell>
          <cell r="B28" t="str">
            <v>Jiuquan, China</v>
          </cell>
          <cell r="C28" t="str">
            <v>Asia</v>
          </cell>
          <cell r="D28" t="str">
            <v>Arid</v>
          </cell>
          <cell r="E28" t="str">
            <v>Upper-middle income</v>
          </cell>
        </row>
        <row r="29">
          <cell r="A29" t="str">
            <v>Wuwei, China</v>
          </cell>
          <cell r="B29" t="str">
            <v>Wuwei, China</v>
          </cell>
          <cell r="C29" t="str">
            <v>Asia</v>
          </cell>
          <cell r="D29" t="str">
            <v>Arid</v>
          </cell>
          <cell r="E29" t="str">
            <v>Upper-middle income</v>
          </cell>
        </row>
        <row r="30">
          <cell r="A30" t="str">
            <v>Longnan, China</v>
          </cell>
          <cell r="B30" t="str">
            <v>Longnan, China</v>
          </cell>
          <cell r="C30" t="str">
            <v>Asia</v>
          </cell>
          <cell r="D30" t="str">
            <v>Humid Subtropical</v>
          </cell>
          <cell r="E30" t="str">
            <v>Upper-middle income</v>
          </cell>
        </row>
        <row r="31">
          <cell r="A31" t="str">
            <v>Chengguan</v>
          </cell>
          <cell r="B31" t="str">
            <v>Lhasa, China</v>
          </cell>
          <cell r="C31" t="str">
            <v>Asia</v>
          </cell>
          <cell r="D31" t="str">
            <v>Continental Monsoon</v>
          </cell>
          <cell r="E31" t="str">
            <v>Upper-middle income</v>
          </cell>
        </row>
        <row r="32">
          <cell r="A32" t="str">
            <v>Naidong</v>
          </cell>
          <cell r="B32" t="str">
            <v>Tibet, China</v>
          </cell>
          <cell r="C32" t="str">
            <v>Asia</v>
          </cell>
          <cell r="D32" t="str">
            <v>Continental Monsoon</v>
          </cell>
          <cell r="E32" t="str">
            <v>Upper-middle income</v>
          </cell>
        </row>
        <row r="33">
          <cell r="A33" t="str">
            <v>Jiangzi</v>
          </cell>
          <cell r="B33" t="str">
            <v>Tibet, China</v>
          </cell>
          <cell r="C33" t="str">
            <v>Asia</v>
          </cell>
          <cell r="D33" t="str">
            <v>Continental Monsoon</v>
          </cell>
          <cell r="E33" t="str">
            <v>Upper-middle income</v>
          </cell>
        </row>
        <row r="34">
          <cell r="A34" t="str">
            <v>Taiwan, China</v>
          </cell>
          <cell r="B34" t="str">
            <v>Taiwan, China</v>
          </cell>
          <cell r="C34" t="str">
            <v>Asia</v>
          </cell>
          <cell r="D34" t="str">
            <v>Humid Subtropical</v>
          </cell>
          <cell r="E34" t="str">
            <v>Upper-middle income</v>
          </cell>
        </row>
        <row r="35">
          <cell r="A35" t="str">
            <v>--- Korea ---</v>
          </cell>
          <cell r="B35" t="str">
            <v>  </v>
          </cell>
          <cell r="C35" t="str">
            <v>  </v>
          </cell>
          <cell r="D35" t="str">
            <v>  </v>
          </cell>
          <cell r="E35" t="str">
            <v>  </v>
          </cell>
        </row>
        <row r="36">
          <cell r="A36" t="str">
            <v>Korea</v>
          </cell>
          <cell r="B36" t="str">
            <v>South Korea</v>
          </cell>
          <cell r="C36" t="str">
            <v>Asia</v>
          </cell>
          <cell r="D36" t="str">
            <v>Continental Monsoon</v>
          </cell>
          <cell r="E36" t="str">
            <v>High income</v>
          </cell>
        </row>
        <row r="37">
          <cell r="A37" t="str">
            <v>South Korea</v>
          </cell>
          <cell r="B37" t="str">
            <v>South Korea</v>
          </cell>
          <cell r="C37" t="str">
            <v>Asia</v>
          </cell>
          <cell r="D37" t="str">
            <v>Continental Monsoon</v>
          </cell>
          <cell r="E37" t="str">
            <v>High income</v>
          </cell>
        </row>
        <row r="38">
          <cell r="A38" t="str">
            <v>Seoul, Korea</v>
          </cell>
          <cell r="B38" t="str">
            <v>Seoul, South Korea</v>
          </cell>
          <cell r="C38" t="str">
            <v>Asia</v>
          </cell>
          <cell r="D38" t="str">
            <v>Continental Monsoon</v>
          </cell>
          <cell r="E38" t="str">
            <v>High income</v>
          </cell>
        </row>
        <row r="39">
          <cell r="A39" t="str">
            <v>Incheon</v>
          </cell>
          <cell r="B39" t="str">
            <v>Incheon, South Korea</v>
          </cell>
          <cell r="C39" t="str">
            <v>Asia</v>
          </cell>
          <cell r="D39" t="str">
            <v>Continental Monsoon</v>
          </cell>
          <cell r="E39" t="str">
            <v>High income</v>
          </cell>
        </row>
        <row r="40">
          <cell r="A40" t="str">
            <v>Daegu</v>
          </cell>
          <cell r="B40" t="str">
            <v>Daegu, South Korea</v>
          </cell>
          <cell r="C40" t="str">
            <v>Asia</v>
          </cell>
          <cell r="D40" t="str">
            <v>Humid Subtropical</v>
          </cell>
          <cell r="E40" t="str">
            <v>High income</v>
          </cell>
        </row>
        <row r="41">
          <cell r="A41" t="str">
            <v>Busan</v>
          </cell>
          <cell r="B41" t="str">
            <v>Busan, South Korea</v>
          </cell>
          <cell r="C41" t="str">
            <v>Asia</v>
          </cell>
          <cell r="D41" t="str">
            <v>Humid Subtropical</v>
          </cell>
          <cell r="E41" t="str">
            <v>High income</v>
          </cell>
        </row>
        <row r="42">
          <cell r="A42" t="str">
            <v>--- Other Asia ---</v>
          </cell>
          <cell r="B42" t="str">
            <v>  </v>
          </cell>
          <cell r="C42" t="str">
            <v>  </v>
          </cell>
          <cell r="D42" t="str">
            <v>  </v>
          </cell>
          <cell r="E42" t="str">
            <v>  </v>
          </cell>
        </row>
        <row r="43">
          <cell r="A43" t="str">
            <v>Japan</v>
          </cell>
          <cell r="B43" t="str">
            <v>Japan</v>
          </cell>
          <cell r="C43" t="str">
            <v>Asia</v>
          </cell>
          <cell r="D43" t="str">
            <v>Humid Subtropical</v>
          </cell>
          <cell r="E43" t="str">
            <v>High income</v>
          </cell>
        </row>
        <row r="44">
          <cell r="A44" t="str">
            <v>Okayama, Japan</v>
          </cell>
          <cell r="B44" t="str">
            <v>Okayama, Japan</v>
          </cell>
          <cell r="C44" t="str">
            <v>Asia</v>
          </cell>
          <cell r="D44" t="str">
            <v>Humid Subtropical</v>
          </cell>
          <cell r="E44" t="str">
            <v>High income</v>
          </cell>
        </row>
        <row r="45">
          <cell r="A45" t="str">
            <v>Fukuoka, Japan</v>
          </cell>
          <cell r="B45" t="str">
            <v>Fukuoka, Japan</v>
          </cell>
          <cell r="C45" t="str">
            <v>Asia</v>
          </cell>
          <cell r="D45" t="str">
            <v>Humid Subtropical</v>
          </cell>
          <cell r="E45" t="str">
            <v>High income</v>
          </cell>
        </row>
        <row r="46">
          <cell r="A46" t="str">
            <v>Tehran, Iran</v>
          </cell>
          <cell r="B46" t="str">
            <v>Tehran, Iran</v>
          </cell>
          <cell r="C46" t="str">
            <v>Asia</v>
          </cell>
          <cell r="D46" t="str">
            <v>Semi-arid</v>
          </cell>
          <cell r="E46" t="str">
            <v>Upper-middle income</v>
          </cell>
        </row>
        <row r="47">
          <cell r="A47" t="str">
            <v>Rasht, Iran</v>
          </cell>
          <cell r="B47" t="str">
            <v>Rasht, Iran</v>
          </cell>
          <cell r="C47" t="str">
            <v>Asia</v>
          </cell>
          <cell r="D47" t="str">
            <v>Humid Subtropical</v>
          </cell>
          <cell r="E47" t="str">
            <v>Upper-middle income</v>
          </cell>
        </row>
        <row r="48">
          <cell r="A48" t="str">
            <v>Khorasan, Iran</v>
          </cell>
          <cell r="B48" t="str">
            <v>Khorasan, Iran</v>
          </cell>
          <cell r="C48" t="str">
            <v>Asia</v>
          </cell>
          <cell r="D48" t="str">
            <v>Semi-arid</v>
          </cell>
          <cell r="E48" t="str">
            <v>Upper-middle income</v>
          </cell>
        </row>
        <row r="49">
          <cell r="A49" t="str">
            <v>Iran</v>
          </cell>
          <cell r="B49" t="str">
            <v>Iran</v>
          </cell>
          <cell r="C49" t="str">
            <v>Asia</v>
          </cell>
          <cell r="D49" t="str">
            <v>Arid</v>
          </cell>
          <cell r="E49" t="str">
            <v>Upper-middle income</v>
          </cell>
        </row>
        <row r="50">
          <cell r="A50" t="str">
            <v>Kuwait</v>
          </cell>
          <cell r="B50" t="str">
            <v>Kuwait</v>
          </cell>
          <cell r="C50" t="str">
            <v>Asia</v>
          </cell>
          <cell r="D50" t="str">
            <v>Arid</v>
          </cell>
          <cell r="E50" t="str">
            <v>High income</v>
          </cell>
        </row>
        <row r="51">
          <cell r="A51" t="str">
            <v>Israel</v>
          </cell>
          <cell r="B51" t="str">
            <v>Israel</v>
          </cell>
          <cell r="C51" t="str">
            <v>Asia</v>
          </cell>
          <cell r="D51" t="str">
            <v>Mediterranean</v>
          </cell>
          <cell r="E51" t="str">
            <v>High income</v>
          </cell>
        </row>
        <row r="52">
          <cell r="A52" t="str">
            <v>Istanbul, Turkey</v>
          </cell>
          <cell r="B52" t="str">
            <v>Istanbul, Turkey</v>
          </cell>
          <cell r="C52" t="str">
            <v>Asia</v>
          </cell>
          <cell r="D52" t="str">
            <v>Mediterranean</v>
          </cell>
          <cell r="E52" t="str">
            <v>Upper-middle income</v>
          </cell>
        </row>
        <row r="53">
          <cell r="A53" t="str">
            <v>Beirut, Mediterranean</v>
          </cell>
          <cell r="B53" t="str">
            <v>Beirut, Lebanon</v>
          </cell>
          <cell r="C53" t="str">
            <v>Asia</v>
          </cell>
          <cell r="D53" t="str">
            <v>Mediterranean</v>
          </cell>
          <cell r="E53" t="str">
            <v>Lower-middle income</v>
          </cell>
        </row>
        <row r="54">
          <cell r="A54" t="str">
            <v>Hanoi, Vietnam</v>
          </cell>
          <cell r="B54" t="str">
            <v>Hanoi, Vietnam</v>
          </cell>
          <cell r="C54" t="str">
            <v>Asia</v>
          </cell>
          <cell r="D54" t="str">
            <v>Humid Subtropical</v>
          </cell>
          <cell r="E54" t="str">
            <v>Lower-middle income</v>
          </cell>
        </row>
        <row r="55">
          <cell r="A55" t="str">
            <v>Ho Chi Minh City, Vietnam</v>
          </cell>
          <cell r="B55" t="str">
            <v>Ho Chi Minh City</v>
          </cell>
          <cell r="C55" t="str">
            <v>Asia</v>
          </cell>
          <cell r="D55" t="str">
            <v>Tropical</v>
          </cell>
          <cell r="E55" t="str">
            <v>Lower-middle income</v>
          </cell>
        </row>
        <row r="56">
          <cell r="A56" t="str">
            <v>Chiang Mai, Thailand</v>
          </cell>
          <cell r="B56" t="str">
            <v>Chiang Mai, Thailand</v>
          </cell>
          <cell r="C56" t="str">
            <v>Asia</v>
          </cell>
          <cell r="D56" t="str">
            <v>Tropical</v>
          </cell>
          <cell r="E56" t="str">
            <v>Upper-middle income</v>
          </cell>
        </row>
        <row r="57">
          <cell r="A57" t="str">
            <v>Vadu HDSS, India</v>
          </cell>
          <cell r="B57" t="str">
            <v>Pune, India</v>
          </cell>
          <cell r="C57" t="str">
            <v>Asia</v>
          </cell>
          <cell r="D57" t="str">
            <v>Semi-arid</v>
          </cell>
          <cell r="E57" t="str">
            <v>Lower-middle income</v>
          </cell>
        </row>
        <row r="58">
          <cell r="A58" t="str">
            <v>Varanasi, India</v>
          </cell>
          <cell r="B58" t="str">
            <v>Varanasi, India</v>
          </cell>
          <cell r="C58" t="str">
            <v>Asia</v>
          </cell>
          <cell r="D58" t="str">
            <v>Humid Subtropical</v>
          </cell>
          <cell r="E58" t="str">
            <v>Lower-middle income</v>
          </cell>
        </row>
        <row r="59">
          <cell r="A59" t="str">
            <v>Bangladesh, Matlab</v>
          </cell>
          <cell r="B59" t="str">
            <v>Matlab, Bangladesh</v>
          </cell>
          <cell r="C59" t="str">
            <v>Asia</v>
          </cell>
          <cell r="D59" t="str">
            <v>Tropical</v>
          </cell>
          <cell r="E59" t="str">
            <v>Lower-middle income</v>
          </cell>
        </row>
        <row r="60">
          <cell r="A60" t="str">
            <v>Yakutsk, Russia</v>
          </cell>
          <cell r="B60" t="str">
            <v>Yakutsk, Russia</v>
          </cell>
          <cell r="C60" t="str">
            <v>Asia</v>
          </cell>
          <cell r="D60" t="str">
            <v>Humid Continental</v>
          </cell>
          <cell r="E60" t="str">
            <v>Upper-middle income</v>
          </cell>
        </row>
        <row r="61">
          <cell r="A61" t="str">
            <v>--- Europe ---</v>
          </cell>
          <cell r="B61" t="str">
            <v>  </v>
          </cell>
          <cell r="C61" t="str">
            <v>  </v>
          </cell>
          <cell r="D61" t="str">
            <v>  </v>
          </cell>
          <cell r="E61" t="str">
            <v>  </v>
          </cell>
        </row>
        <row r="62">
          <cell r="A62" t="str">
            <v>London, England</v>
          </cell>
          <cell r="B62" t="str">
            <v>London, UK</v>
          </cell>
          <cell r="C62" t="str">
            <v>Europe</v>
          </cell>
          <cell r="D62" t="str">
            <v>Oceanic</v>
          </cell>
          <cell r="E62" t="str">
            <v>High income</v>
          </cell>
        </row>
        <row r="63">
          <cell r="A63" t="str">
            <v>England</v>
          </cell>
          <cell r="B63" t="str">
            <v>UK</v>
          </cell>
          <cell r="C63" t="str">
            <v>Europe</v>
          </cell>
          <cell r="D63" t="str">
            <v>Oceanic</v>
          </cell>
          <cell r="E63" t="str">
            <v>High income</v>
          </cell>
        </row>
        <row r="64">
          <cell r="A64" t="str">
            <v>England and Wales</v>
          </cell>
          <cell r="B64" t="str">
            <v>UK</v>
          </cell>
          <cell r="C64" t="str">
            <v>Europe</v>
          </cell>
          <cell r="D64" t="str">
            <v>Oceanic</v>
          </cell>
          <cell r="E64" t="str">
            <v>High income</v>
          </cell>
        </row>
        <row r="65">
          <cell r="A65" t="str">
            <v>West Midlands</v>
          </cell>
          <cell r="B65" t="str">
            <v>UK</v>
          </cell>
          <cell r="C65" t="str">
            <v>Europe</v>
          </cell>
          <cell r="D65" t="str">
            <v>Oceanic</v>
          </cell>
          <cell r="E65" t="str">
            <v>High income</v>
          </cell>
        </row>
        <row r="66">
          <cell r="A66" t="str">
            <v>Stockholm, Sweden</v>
          </cell>
          <cell r="B66" t="str">
            <v>Stockholm, Sweden</v>
          </cell>
          <cell r="C66" t="str">
            <v>Europe</v>
          </cell>
          <cell r="D66" t="str">
            <v>Humid Continental</v>
          </cell>
          <cell r="E66" t="str">
            <v>High income</v>
          </cell>
        </row>
        <row r="67">
          <cell r="A67" t="str">
            <v>Helsinki, Finland</v>
          </cell>
          <cell r="B67" t="str">
            <v>Helsinki, Finland</v>
          </cell>
          <cell r="C67" t="str">
            <v>Europe</v>
          </cell>
          <cell r="D67" t="str">
            <v>Humid Continental</v>
          </cell>
          <cell r="E67" t="str">
            <v>High income</v>
          </cell>
        </row>
        <row r="68">
          <cell r="A68" t="str">
            <v>Oulu, Finland</v>
          </cell>
          <cell r="B68" t="str">
            <v>Oulu, Finland</v>
          </cell>
          <cell r="C68" t="str">
            <v>Europe</v>
          </cell>
          <cell r="D68" t="str">
            <v>Humid Continental</v>
          </cell>
          <cell r="E68" t="str">
            <v>High income</v>
          </cell>
        </row>
        <row r="69">
          <cell r="A69" t="str">
            <v>Rome, Italy</v>
          </cell>
          <cell r="B69" t="str">
            <v>Rome, Italy</v>
          </cell>
          <cell r="C69" t="str">
            <v>Europe</v>
          </cell>
          <cell r="D69" t="str">
            <v>Mediterranean</v>
          </cell>
          <cell r="E69" t="str">
            <v>High income</v>
          </cell>
        </row>
        <row r="70">
          <cell r="A70" t="str">
            <v>Milan</v>
          </cell>
          <cell r="B70" t="str">
            <v>Milan, Italy</v>
          </cell>
          <cell r="C70" t="str">
            <v>Europe</v>
          </cell>
          <cell r="D70" t="str">
            <v>Humid Subtropical</v>
          </cell>
          <cell r="E70" t="str">
            <v>High income</v>
          </cell>
        </row>
        <row r="71">
          <cell r="A71" t="str">
            <v>Turin, Italy</v>
          </cell>
          <cell r="B71" t="str">
            <v>Turin, Italy</v>
          </cell>
          <cell r="C71" t="str">
            <v>Europe</v>
          </cell>
          <cell r="D71" t="str">
            <v>Humid Subtropical</v>
          </cell>
          <cell r="E71" t="str">
            <v>High income</v>
          </cell>
        </row>
        <row r="72">
          <cell r="A72" t="str">
            <v>Italy</v>
          </cell>
          <cell r="B72" t="str">
            <v>Italy</v>
          </cell>
          <cell r="C72" t="str">
            <v>Europe</v>
          </cell>
          <cell r="D72" t="str">
            <v>Mediterranean</v>
          </cell>
          <cell r="E72" t="str">
            <v>High income</v>
          </cell>
        </row>
        <row r="73">
          <cell r="A73" t="str">
            <v>Barcelona, Spain</v>
          </cell>
          <cell r="B73" t="str">
            <v>Barcelona, Spain</v>
          </cell>
          <cell r="C73" t="str">
            <v>Europe</v>
          </cell>
          <cell r="D73" t="str">
            <v>Mediterranean</v>
          </cell>
          <cell r="E73" t="str">
            <v>High income</v>
          </cell>
        </row>
        <row r="74">
          <cell r="A74" t="str">
            <v>Valencia</v>
          </cell>
          <cell r="B74" t="str">
            <v>Valencia, Spain</v>
          </cell>
          <cell r="C74" t="str">
            <v>Europe</v>
          </cell>
          <cell r="D74" t="str">
            <v>Mediterranean</v>
          </cell>
          <cell r="E74" t="str">
            <v>High income</v>
          </cell>
        </row>
        <row r="75">
          <cell r="A75" t="str">
            <v>Spain</v>
          </cell>
          <cell r="B75" t="str">
            <v>Spain</v>
          </cell>
          <cell r="C75" t="str">
            <v>Europe</v>
          </cell>
          <cell r="D75" t="str">
            <v>Mediterranean</v>
          </cell>
          <cell r="E75" t="str">
            <v>High income</v>
          </cell>
        </row>
        <row r="76">
          <cell r="A76" t="str">
            <v>Spain and the Balearic Islands</v>
          </cell>
          <cell r="B76" t="str">
            <v>Spain</v>
          </cell>
          <cell r="C76" t="str">
            <v>Europe</v>
          </cell>
          <cell r="D76" t="str">
            <v>Mediterranean</v>
          </cell>
          <cell r="E76" t="str">
            <v>High income</v>
          </cell>
        </row>
        <row r="77">
          <cell r="A77" t="str">
            <v>Lisbon, Portugal</v>
          </cell>
          <cell r="B77" t="str">
            <v>Lisbon, Portugal</v>
          </cell>
          <cell r="C77" t="str">
            <v>Europe</v>
          </cell>
          <cell r="D77" t="str">
            <v>Mediterranean</v>
          </cell>
          <cell r="E77" t="str">
            <v>High income</v>
          </cell>
        </row>
        <row r="78">
          <cell r="A78" t="str">
            <v>Oporto, Portugal</v>
          </cell>
          <cell r="B78" t="str">
            <v>Porto, Portugal</v>
          </cell>
          <cell r="C78" t="str">
            <v>Europe</v>
          </cell>
          <cell r="D78" t="str">
            <v>Mediterranean</v>
          </cell>
          <cell r="E78" t="str">
            <v>High income</v>
          </cell>
        </row>
        <row r="79">
          <cell r="A79" t="str">
            <v>Zurich</v>
          </cell>
          <cell r="B79" t="str">
            <v>Switzerland</v>
          </cell>
          <cell r="C79" t="str">
            <v>Europe</v>
          </cell>
          <cell r="D79" t="str">
            <v>Oceanic</v>
          </cell>
          <cell r="E79" t="str">
            <v>High income</v>
          </cell>
        </row>
        <row r="80">
          <cell r="A80" t="str">
            <v>Bern, Switzerland</v>
          </cell>
          <cell r="B80" t="str">
            <v>Switzerland</v>
          </cell>
          <cell r="C80" t="str">
            <v>Europe</v>
          </cell>
          <cell r="D80" t="str">
            <v>Oceanic</v>
          </cell>
          <cell r="E80" t="str">
            <v>High income</v>
          </cell>
        </row>
        <row r="81">
          <cell r="A81" t="str">
            <v>Netherlands</v>
          </cell>
          <cell r="B81" t="str">
            <v>Netherlands</v>
          </cell>
          <cell r="C81" t="str">
            <v>Europe</v>
          </cell>
          <cell r="D81" t="str">
            <v>Oceanic</v>
          </cell>
          <cell r="E81" t="str">
            <v>High income</v>
          </cell>
        </row>
        <row r="82">
          <cell r="A82" t="str">
            <v>Belgium</v>
          </cell>
          <cell r="B82" t="str">
            <v>Belgium</v>
          </cell>
          <cell r="C82" t="str">
            <v>Europe</v>
          </cell>
          <cell r="D82" t="str">
            <v>Oceanic</v>
          </cell>
          <cell r="E82" t="str">
            <v>High income</v>
          </cell>
        </row>
        <row r="83">
          <cell r="A83" t="str">
            <v>Flanders, northern Belgium</v>
          </cell>
          <cell r="B83" t="str">
            <v>Belgium</v>
          </cell>
          <cell r="C83" t="str">
            <v>Europe</v>
          </cell>
          <cell r="D83" t="str">
            <v>Oceanic</v>
          </cell>
          <cell r="E83" t="str">
            <v>High income</v>
          </cell>
        </row>
        <row r="84">
          <cell r="A84" t="str">
            <v>Augsburg, Germany</v>
          </cell>
          <cell r="B84" t="str">
            <v>Augsburg, Germany</v>
          </cell>
          <cell r="C84" t="str">
            <v>Europe</v>
          </cell>
          <cell r="D84" t="str">
            <v>Oceanic</v>
          </cell>
          <cell r="E84" t="str">
            <v>High income</v>
          </cell>
        </row>
        <row r="85">
          <cell r="A85" t="str">
            <v>Budapest</v>
          </cell>
          <cell r="B85" t="str">
            <v>Budapest, Hungary</v>
          </cell>
          <cell r="C85" t="str">
            <v>Europe</v>
          </cell>
          <cell r="D85" t="str">
            <v>Humid Continental</v>
          </cell>
          <cell r="E85" t="str">
            <v>High income</v>
          </cell>
        </row>
        <row r="86">
          <cell r="A86" t="str">
            <v>Dublin</v>
          </cell>
          <cell r="B86" t="str">
            <v>Dublin, Ireland</v>
          </cell>
          <cell r="C86" t="str">
            <v>Europe</v>
          </cell>
          <cell r="D86" t="str">
            <v>Oceanic</v>
          </cell>
          <cell r="E86" t="str">
            <v>High income</v>
          </cell>
        </row>
        <row r="87">
          <cell r="A87" t="str">
            <v>Czechia</v>
          </cell>
          <cell r="B87" t="str">
            <v>Czech Republic</v>
          </cell>
          <cell r="C87" t="str">
            <v>Europe</v>
          </cell>
          <cell r="D87" t="str">
            <v>Humid Continental</v>
          </cell>
          <cell r="E87" t="str">
            <v>High income</v>
          </cell>
        </row>
        <row r="88">
          <cell r="A88" t="str">
            <v>Lithuania</v>
          </cell>
          <cell r="B88" t="str">
            <v>Lithuania</v>
          </cell>
          <cell r="C88" t="str">
            <v>Europe</v>
          </cell>
          <cell r="D88" t="str">
            <v>Humid Continental</v>
          </cell>
          <cell r="E88" t="str">
            <v>High income</v>
          </cell>
        </row>
        <row r="89">
          <cell r="A89" t="str">
            <v>--- North America ---</v>
          </cell>
          <cell r="B89" t="str">
            <v>  </v>
          </cell>
          <cell r="C89" t="str">
            <v>  </v>
          </cell>
          <cell r="D89" t="str">
            <v>  </v>
          </cell>
          <cell r="E89" t="str">
            <v>  </v>
          </cell>
        </row>
        <row r="90">
          <cell r="A90" t="str">
            <v>New York, USA</v>
          </cell>
          <cell r="B90" t="str">
            <v>New York, USA</v>
          </cell>
          <cell r="C90" t="str">
            <v>North America</v>
          </cell>
          <cell r="D90" t="str">
            <v>Humid Continental</v>
          </cell>
          <cell r="E90" t="str">
            <v>High income</v>
          </cell>
        </row>
        <row r="91">
          <cell r="A91" t="str">
            <v>Washington, USA</v>
          </cell>
          <cell r="B91" t="str">
            <v>Washington DC, USA</v>
          </cell>
          <cell r="C91" t="str">
            <v>North America</v>
          </cell>
          <cell r="D91" t="str">
            <v>Humid Subtropical</v>
          </cell>
          <cell r="E91" t="str">
            <v>High income</v>
          </cell>
        </row>
        <row r="92">
          <cell r="A92" t="str">
            <v>Pennsylvania, USA</v>
          </cell>
          <cell r="B92" t="str">
            <v>Pennsylvania, USA</v>
          </cell>
          <cell r="C92" t="str">
            <v>North America</v>
          </cell>
          <cell r="D92" t="str">
            <v>Humid Continental</v>
          </cell>
          <cell r="E92" t="str">
            <v>High income</v>
          </cell>
        </row>
        <row r="93">
          <cell r="A93" t="str">
            <v>Maryland, USA</v>
          </cell>
          <cell r="B93" t="str">
            <v>Maryland, USA</v>
          </cell>
          <cell r="C93" t="str">
            <v>North America</v>
          </cell>
          <cell r="D93" t="str">
            <v>Humid Subtropical</v>
          </cell>
          <cell r="E93" t="str">
            <v>High income</v>
          </cell>
        </row>
        <row r="94">
          <cell r="A94" t="str">
            <v>Texas, USA</v>
          </cell>
          <cell r="B94" t="str">
            <v>Texas, USA</v>
          </cell>
          <cell r="C94" t="str">
            <v>North America</v>
          </cell>
          <cell r="D94" t="str">
            <v>Humid Subtropical</v>
          </cell>
          <cell r="E94" t="str">
            <v>High income</v>
          </cell>
        </row>
        <row r="95">
          <cell r="A95" t="str">
            <v>Arizona desert, USA</v>
          </cell>
          <cell r="B95" t="str">
            <v>Arizona, USA</v>
          </cell>
          <cell r="C95" t="str">
            <v>North America</v>
          </cell>
          <cell r="D95" t="str">
            <v>Arid</v>
          </cell>
          <cell r="E95" t="str">
            <v>High income</v>
          </cell>
        </row>
        <row r="96">
          <cell r="A96" t="str">
            <v>North Carolina, USA</v>
          </cell>
          <cell r="B96" t="str">
            <v>North Carolina, USA</v>
          </cell>
          <cell r="C96" t="str">
            <v>North America</v>
          </cell>
          <cell r="D96" t="str">
            <v>Humid Subtropical</v>
          </cell>
          <cell r="E96" t="str">
            <v>High income</v>
          </cell>
        </row>
        <row r="97">
          <cell r="A97" t="str">
            <v>Los Angels, USA</v>
          </cell>
          <cell r="B97" t="str">
            <v>Los Angeles, USA</v>
          </cell>
          <cell r="C97" t="str">
            <v>North America</v>
          </cell>
          <cell r="D97" t="str">
            <v>Mediterranean</v>
          </cell>
          <cell r="E97" t="str">
            <v>High income</v>
          </cell>
        </row>
        <row r="98">
          <cell r="A98" t="str">
            <v>USA</v>
          </cell>
          <cell r="B98" t="str">
            <v>USA</v>
          </cell>
          <cell r="C98" t="str">
            <v>North America</v>
          </cell>
          <cell r="D98" t="str">
            <v>Mixed</v>
          </cell>
          <cell r="E98" t="str">
            <v>High income</v>
          </cell>
        </row>
        <row r="99">
          <cell r="A99" t="str">
            <v>Ontario, Canada</v>
          </cell>
          <cell r="B99" t="str">
            <v>Ontario, Canada</v>
          </cell>
          <cell r="C99" t="str">
            <v>North America</v>
          </cell>
          <cell r="D99" t="str">
            <v>Humid Continental</v>
          </cell>
          <cell r="E99" t="str">
            <v>High income</v>
          </cell>
        </row>
        <row r="100">
          <cell r="A100" t="str">
            <v>Quebec, Canada</v>
          </cell>
          <cell r="B100" t="str">
            <v>Quebec, Canada</v>
          </cell>
          <cell r="C100" t="str">
            <v>North America</v>
          </cell>
          <cell r="D100" t="str">
            <v>Humid Continental</v>
          </cell>
          <cell r="E100" t="str">
            <v>High income</v>
          </cell>
        </row>
        <row r="101">
          <cell r="A101" t="str">
            <v>Mexico</v>
          </cell>
          <cell r="B101" t="str">
            <v>Mexico</v>
          </cell>
          <cell r="C101" t="str">
            <v>North America</v>
          </cell>
          <cell r="D101" t="str">
            <v>Mixed</v>
          </cell>
          <cell r="E101" t="str">
            <v>Upper-middle income</v>
          </cell>
        </row>
        <row r="102">
          <cell r="A102" t="str">
            <v>--- Oceania ---</v>
          </cell>
          <cell r="B102" t="str">
            <v>  </v>
          </cell>
          <cell r="C102" t="str">
            <v>  </v>
          </cell>
          <cell r="D102" t="str">
            <v>  </v>
          </cell>
          <cell r="E102" t="str">
            <v>  </v>
          </cell>
        </row>
        <row r="103">
          <cell r="A103" t="str">
            <v>Adelaide, Australia</v>
          </cell>
          <cell r="B103" t="str">
            <v>Adelaide, Australia</v>
          </cell>
          <cell r="C103" t="str">
            <v>Oceania</v>
          </cell>
          <cell r="D103" t="str">
            <v>Mediterranean</v>
          </cell>
          <cell r="E103" t="str">
            <v>High income</v>
          </cell>
        </row>
        <row r="104">
          <cell r="A104" t="str">
            <v>Perth, Australia</v>
          </cell>
          <cell r="B104" t="str">
            <v>Perth, Australia</v>
          </cell>
          <cell r="C104" t="str">
            <v>Oceania</v>
          </cell>
          <cell r="D104" t="str">
            <v>Mediterranean</v>
          </cell>
          <cell r="E104" t="str">
            <v>High income</v>
          </cell>
        </row>
        <row r="105">
          <cell r="A105" t="str">
            <v>Melbourne</v>
          </cell>
          <cell r="B105" t="str">
            <v>Melbourne, Australia</v>
          </cell>
          <cell r="C105" t="str">
            <v>Oceania</v>
          </cell>
          <cell r="D105" t="str">
            <v>Oceanic</v>
          </cell>
          <cell r="E105" t="str">
            <v>High income</v>
          </cell>
        </row>
        <row r="106">
          <cell r="A106" t="str">
            <v>Brisbane, Australia</v>
          </cell>
          <cell r="B106" t="str">
            <v>Brisbane, Australia</v>
          </cell>
          <cell r="C106" t="str">
            <v>Oceania</v>
          </cell>
          <cell r="D106" t="str">
            <v>Humid Subtropical</v>
          </cell>
          <cell r="E106" t="str">
            <v>High income</v>
          </cell>
        </row>
        <row r="107">
          <cell r="A107" t="str">
            <v>Sydney</v>
          </cell>
          <cell r="B107" t="str">
            <v>Sydney, Australia</v>
          </cell>
          <cell r="C107" t="str">
            <v>Oceania</v>
          </cell>
          <cell r="D107" t="str">
            <v>Humid Subtropical</v>
          </cell>
          <cell r="E107" t="str">
            <v>High income</v>
          </cell>
        </row>
        <row r="108">
          <cell r="A108" t="str">
            <v>Queensland, Australia</v>
          </cell>
          <cell r="B108" t="str">
            <v>Queensland, Australia</v>
          </cell>
          <cell r="C108" t="str">
            <v>Oceania</v>
          </cell>
          <cell r="D108" t="str">
            <v>Humid Subtropical</v>
          </cell>
          <cell r="E108" t="str">
            <v>High income</v>
          </cell>
        </row>
        <row r="109">
          <cell r="A109" t="str">
            <v>--- Other ---</v>
          </cell>
          <cell r="B109" t="str">
            <v>  </v>
          </cell>
          <cell r="C109" t="str">
            <v>  </v>
          </cell>
          <cell r="D109" t="str">
            <v>  </v>
          </cell>
          <cell r="E109" t="str">
            <v>  </v>
          </cell>
        </row>
        <row r="110">
          <cell r="A110" t="str">
            <v>São Paulo, Brazil</v>
          </cell>
          <cell r="B110" t="str">
            <v>São Paulo, Brazil</v>
          </cell>
          <cell r="C110" t="str">
            <v>South America</v>
          </cell>
          <cell r="D110" t="str">
            <v>Humid Subtropical</v>
          </cell>
          <cell r="E110" t="str">
            <v>Upper-middle income</v>
          </cell>
        </row>
        <row r="111">
          <cell r="A111" t="str">
            <v>Curitiba, Brazil</v>
          </cell>
          <cell r="B111" t="str">
            <v>Curitiba, Brazil</v>
          </cell>
          <cell r="C111" t="str">
            <v>South America</v>
          </cell>
          <cell r="D111" t="str">
            <v>Humid Subtropical</v>
          </cell>
          <cell r="E111" t="str">
            <v>Upper-middle income</v>
          </cell>
        </row>
        <row r="112">
          <cell r="A112" t="str">
            <v>Rio de Janeiro</v>
          </cell>
          <cell r="B112" t="str">
            <v>Rio de Janeiro</v>
          </cell>
          <cell r="C112" t="str">
            <v>South America</v>
          </cell>
          <cell r="D112" t="str">
            <v>Tropical</v>
          </cell>
          <cell r="E112" t="str">
            <v>Upper-middle income</v>
          </cell>
        </row>
        <row r="113">
          <cell r="A113" t="str">
            <v>Manaus</v>
          </cell>
          <cell r="B113" t="str">
            <v>Manaus, Brazil</v>
          </cell>
          <cell r="C113" t="str">
            <v>South America</v>
          </cell>
          <cell r="D113" t="str">
            <v>Tropical</v>
          </cell>
          <cell r="E113" t="str">
            <v>Upper-middle income</v>
          </cell>
        </row>
        <row r="114">
          <cell r="A114" t="str">
            <v>Brazil</v>
          </cell>
          <cell r="B114" t="str">
            <v>Brazil</v>
          </cell>
          <cell r="C114" t="str">
            <v>South America</v>
          </cell>
          <cell r="D114" t="str">
            <v>Tropical</v>
          </cell>
          <cell r="E114" t="str">
            <v>Upper-middle income</v>
          </cell>
        </row>
        <row r="115">
          <cell r="A115" t="str">
            <v>Santiago</v>
          </cell>
          <cell r="B115" t="str">
            <v>Santiago, Chile</v>
          </cell>
          <cell r="C115" t="str">
            <v>South America</v>
          </cell>
          <cell r="D115" t="str">
            <v>Mediterranean</v>
          </cell>
          <cell r="E115" t="str">
            <v>High income</v>
          </cell>
        </row>
        <row r="116">
          <cell r="A116" t="str">
            <v>Tunis, Tunisia</v>
          </cell>
          <cell r="B116" t="str">
            <v>Tunis, Tunisia</v>
          </cell>
          <cell r="C116" t="str">
            <v>Africa</v>
          </cell>
          <cell r="D116" t="str">
            <v>Mediterranean</v>
          </cell>
          <cell r="E116" t="str">
            <v>Lower-middle income</v>
          </cell>
        </row>
        <row r="117">
          <cell r="A117" t="str">
            <v>Northern Ghana</v>
          </cell>
          <cell r="B117" t="str">
            <v>Northern Ghana</v>
          </cell>
          <cell r="C117" t="str">
            <v>Africa</v>
          </cell>
          <cell r="D117" t="str">
            <v>Tropical</v>
          </cell>
          <cell r="E117" t="str">
            <v>Lower-middle income</v>
          </cell>
        </row>
        <row r="118">
          <cell r="A118" t="str">
            <v>Nouna area, Burkina Faso</v>
          </cell>
          <cell r="B118" t="str">
            <v>Nouna, Burkina Faso</v>
          </cell>
          <cell r="C118" t="str">
            <v>Africa</v>
          </cell>
          <cell r="D118" t="str">
            <v>Semi-arid</v>
          </cell>
          <cell r="E118" t="str">
            <v>Low income</v>
          </cell>
        </row>
        <row r="119">
          <cell r="A119" t="str">
            <v>Pooled</v>
          </cell>
          <cell r="B119" t="str">
            <v>  </v>
          </cell>
          <cell r="C119" t="str">
            <v>  </v>
          </cell>
          <cell r="D119" t="str">
            <v>  </v>
          </cell>
          <cell r="E119" t="str">
            <v>  </v>
          </cell>
        </row>
        <row r="120">
          <cell r="A120" t="str">
            <v>Urban heat island area</v>
          </cell>
          <cell r="B120" t="str">
            <v>  </v>
          </cell>
          <cell r="C120" t="str">
            <v>  </v>
          </cell>
          <cell r="D120" t="str">
            <v>  </v>
          </cell>
          <cell r="E120" t="str">
            <v>  </v>
          </cell>
        </row>
        <row r="121">
          <cell r="A121" t="str">
            <v>Non-urban heat island area</v>
          </cell>
          <cell r="B121" t="str">
            <v>  </v>
          </cell>
          <cell r="C121" t="str">
            <v>  </v>
          </cell>
          <cell r="D121" t="str">
            <v>  </v>
          </cell>
          <cell r="E121" t="str">
            <v>  </v>
          </cell>
        </row>
        <row r="122">
          <cell r="A122" t="str">
            <v>Low Greenness</v>
          </cell>
          <cell r="B122" t="str">
            <v>  </v>
          </cell>
          <cell r="C122" t="str">
            <v>  </v>
          </cell>
          <cell r="D122" t="str">
            <v>  </v>
          </cell>
          <cell r="E122" t="str">
            <v>  </v>
          </cell>
        </row>
        <row r="123">
          <cell r="A123" t="str">
            <v>High Greenness</v>
          </cell>
          <cell r="B123" t="str">
            <v>  </v>
          </cell>
          <cell r="C123" t="str">
            <v>  </v>
          </cell>
          <cell r="D123" t="str">
            <v>  </v>
          </cell>
          <cell r="E123" t="str">
            <v>  </v>
          </cell>
        </row>
        <row r="124">
          <cell r="A124" t="str">
            <v>owest quintile of SEP-Index</v>
          </cell>
          <cell r="B124" t="str">
            <v>  </v>
          </cell>
          <cell r="C124" t="str">
            <v>  </v>
          </cell>
          <cell r="D124" t="str">
            <v>  </v>
          </cell>
          <cell r="E124" t="str">
            <v>  </v>
          </cell>
        </row>
        <row r="125">
          <cell r="A125" t="str">
            <v>National climate zone</v>
          </cell>
          <cell r="B125" t="str">
            <v>  </v>
          </cell>
          <cell r="C125" t="str">
            <v>  </v>
          </cell>
          <cell r="D125" t="str">
            <v>  </v>
          </cell>
          <cell r="E125" t="str">
            <v>  </v>
          </cell>
        </row>
        <row r="126">
          <cell r="A126" t="str">
            <v>Subtropical climate zone</v>
          </cell>
          <cell r="B126" t="str">
            <v>  </v>
          </cell>
          <cell r="C126" t="str">
            <v>  </v>
          </cell>
          <cell r="D126" t="str">
            <v>Humid Subtropical</v>
          </cell>
          <cell r="E126" t="str">
            <v>  </v>
          </cell>
        </row>
        <row r="127">
          <cell r="A127" t="str">
            <v>Temperate climate zone</v>
          </cell>
          <cell r="B127" t="str">
            <v>  </v>
          </cell>
          <cell r="C127" t="str">
            <v>  </v>
          </cell>
          <cell r="D127" t="str">
            <v>Oceanic</v>
          </cell>
          <cell r="E127" t="str">
            <v>  </v>
          </cell>
        </row>
        <row r="128">
          <cell r="A128" t="str">
            <v>Multi-country</v>
          </cell>
          <cell r="B128" t="str">
            <v>  </v>
          </cell>
          <cell r="C128" t="str">
            <v>  </v>
          </cell>
          <cell r="D128" t="str">
            <v>  </v>
          </cell>
          <cell r="E128" t="str">
            <v>  </v>
          </cell>
        </row>
        <row r="129">
          <cell r="A129" t="str">
            <v>--- Europe (Regions) ---</v>
          </cell>
          <cell r="B129" t="str">
            <v>  </v>
          </cell>
          <cell r="C129" t="str">
            <v>  </v>
          </cell>
          <cell r="D129" t="str">
            <v>  </v>
          </cell>
          <cell r="E129" t="str">
            <v>  </v>
          </cell>
        </row>
        <row r="130">
          <cell r="A130" t="str">
            <v>Mediterranean</v>
          </cell>
          <cell r="B130" t="str">
            <v>Europe (South)</v>
          </cell>
          <cell r="C130" t="str">
            <v>Europe</v>
          </cell>
          <cell r="D130" t="str">
            <v>Mediterranean</v>
          </cell>
          <cell r="E130" t="str">
            <v>High income</v>
          </cell>
        </row>
        <row r="131">
          <cell r="A131" t="str">
            <v>Mediterranean Europe</v>
          </cell>
          <cell r="B131" t="str">
            <v>Europe (South)</v>
          </cell>
          <cell r="C131" t="str">
            <v>Europe</v>
          </cell>
          <cell r="D131" t="str">
            <v>Mediterranean</v>
          </cell>
          <cell r="E131" t="str">
            <v>High income</v>
          </cell>
        </row>
        <row r="132">
          <cell r="A132" t="str">
            <v>North-Continental Cities</v>
          </cell>
          <cell r="B132" t="str">
            <v>Europe (North/Central)</v>
          </cell>
          <cell r="C132" t="str">
            <v>Europe</v>
          </cell>
          <cell r="D132" t="str">
            <v>Humid Continental</v>
          </cell>
          <cell r="E132" t="str">
            <v>High income</v>
          </cell>
        </row>
        <row r="133">
          <cell r="A133" t="str">
            <v>North-Continental Europe</v>
          </cell>
          <cell r="B133" t="str">
            <v>Europe (North/Central)</v>
          </cell>
          <cell r="C133" t="str">
            <v>Europe</v>
          </cell>
          <cell r="D133" t="str">
            <v>Humid Continental</v>
          </cell>
          <cell r="E133" t="str">
            <v>High income</v>
          </cell>
        </row>
        <row r="134">
          <cell r="A134" t="str">
            <v>Lake Geneva</v>
          </cell>
          <cell r="B134" t="str">
            <v>Switzerland</v>
          </cell>
          <cell r="C134" t="str">
            <v>Europe</v>
          </cell>
          <cell r="D134" t="str">
            <v>Oceanic</v>
          </cell>
          <cell r="E134" t="str">
            <v>High income</v>
          </cell>
        </row>
        <row r="135">
          <cell r="A135" t="str">
            <v>Ticino</v>
          </cell>
          <cell r="B135" t="str">
            <v>Switzerland</v>
          </cell>
          <cell r="C135" t="str">
            <v>Europe</v>
          </cell>
          <cell r="D135" t="str">
            <v>Humid Subtropical</v>
          </cell>
          <cell r="E135" t="str">
            <v>High income</v>
          </cell>
        </row>
        <row r="136">
          <cell r="A136" t="str">
            <v>Swiss</v>
          </cell>
          <cell r="B136" t="str">
            <v>Switzerland</v>
          </cell>
          <cell r="C136" t="str">
            <v>Europe</v>
          </cell>
          <cell r="D136" t="str">
            <v>Oceanic</v>
          </cell>
          <cell r="E136" t="str">
            <v>High income</v>
          </cell>
        </row>
        <row r="137">
          <cell r="A137" t="str">
            <v>Switzerland</v>
          </cell>
          <cell r="B137" t="str">
            <v>Switzerland</v>
          </cell>
          <cell r="C137" t="str">
            <v>Europe</v>
          </cell>
          <cell r="D137" t="str">
            <v>Oceanic</v>
          </cell>
          <cell r="E137" t="str">
            <v>High income</v>
          </cell>
        </row>
        <row r="138">
          <cell r="A138" t="str">
            <v>Ljubljana</v>
          </cell>
          <cell r="B138" t="str">
            <v>Slovenia</v>
          </cell>
          <cell r="C138" t="str">
            <v>Europe</v>
          </cell>
          <cell r="D138" t="str">
            <v>Humid Continental</v>
          </cell>
          <cell r="E138" t="str">
            <v>High income</v>
          </cell>
        </row>
        <row r="139">
          <cell r="A139" t="str">
            <v>Paris</v>
          </cell>
          <cell r="B139" t="str">
            <v>France</v>
          </cell>
          <cell r="C139" t="str">
            <v>Europe</v>
          </cell>
          <cell r="D139" t="str">
            <v>Oceanic</v>
          </cell>
          <cell r="E139" t="str">
            <v>High income</v>
          </cell>
        </row>
        <row r="140">
          <cell r="A140" t="str">
            <v>Stockholm</v>
          </cell>
          <cell r="B140" t="str">
            <v>Sweden</v>
          </cell>
          <cell r="C140" t="str">
            <v>Europe</v>
          </cell>
          <cell r="D140" t="str">
            <v>Humid Continental</v>
          </cell>
          <cell r="E140" t="str">
            <v>High income</v>
          </cell>
        </row>
        <row r="141">
          <cell r="A141" t="str">
            <v>Sweden</v>
          </cell>
          <cell r="B141" t="str">
            <v>Sweden</v>
          </cell>
          <cell r="C141" t="str">
            <v>Europe</v>
          </cell>
          <cell r="D141" t="str">
            <v>Humid Continental</v>
          </cell>
          <cell r="E141" t="str">
            <v>High income</v>
          </cell>
        </row>
        <row r="142">
          <cell r="A142" t="str">
            <v>Catalonia, Spain</v>
          </cell>
          <cell r="B142" t="str">
            <v>Spain</v>
          </cell>
          <cell r="C142" t="str">
            <v>Europe</v>
          </cell>
          <cell r="D142" t="str">
            <v>Mediterranean</v>
          </cell>
          <cell r="E142" t="str">
            <v>High income</v>
          </cell>
        </row>
        <row r="143">
          <cell r="A143" t="str">
            <v>Bologna Local Health Trust, Italy</v>
          </cell>
          <cell r="B143" t="str">
            <v>Italy</v>
          </cell>
          <cell r="C143" t="str">
            <v>Europe</v>
          </cell>
          <cell r="D143" t="str">
            <v>Humid Subtropical</v>
          </cell>
          <cell r="E143" t="str">
            <v>High income</v>
          </cell>
        </row>
        <row r="144">
          <cell r="A144" t="str">
            <v>--- UK Regions ---</v>
          </cell>
          <cell r="B144" t="str">
            <v>  </v>
          </cell>
          <cell r="C144" t="str">
            <v>  </v>
          </cell>
          <cell r="D144" t="str">
            <v>  </v>
          </cell>
          <cell r="E144" t="str">
            <v>  </v>
          </cell>
        </row>
        <row r="145">
          <cell r="A145" t="str">
            <v>Midland</v>
          </cell>
          <cell r="B145" t="str">
            <v>UK</v>
          </cell>
          <cell r="C145" t="str">
            <v>Europe</v>
          </cell>
          <cell r="D145" t="str">
            <v>Oceanic</v>
          </cell>
          <cell r="E145" t="str">
            <v>High income</v>
          </cell>
        </row>
        <row r="146">
          <cell r="A146" t="str">
            <v>North East</v>
          </cell>
          <cell r="B146" t="str">
            <v>UK</v>
          </cell>
          <cell r="C146" t="str">
            <v>Europe</v>
          </cell>
          <cell r="D146" t="str">
            <v>Oceanic</v>
          </cell>
          <cell r="E146" t="str">
            <v>High income</v>
          </cell>
        </row>
        <row r="147">
          <cell r="A147" t="str">
            <v>North West</v>
          </cell>
          <cell r="B147" t="str">
            <v>UK</v>
          </cell>
          <cell r="C147" t="str">
            <v>Europe</v>
          </cell>
          <cell r="D147" t="str">
            <v>Oceanic</v>
          </cell>
          <cell r="E147" t="str">
            <v>High income</v>
          </cell>
        </row>
        <row r="148">
          <cell r="A148" t="str">
            <v>Yorks and Hum</v>
          </cell>
          <cell r="B148" t="str">
            <v>UK</v>
          </cell>
          <cell r="C148" t="str">
            <v>Europe</v>
          </cell>
          <cell r="D148" t="str">
            <v>Oceanic</v>
          </cell>
          <cell r="E148" t="str">
            <v>High income</v>
          </cell>
        </row>
        <row r="149">
          <cell r="A149" t="str">
            <v>East Midlands</v>
          </cell>
          <cell r="B149" t="str">
            <v>UK</v>
          </cell>
          <cell r="C149" t="str">
            <v>Europe</v>
          </cell>
          <cell r="D149" t="str">
            <v>Oceanic</v>
          </cell>
          <cell r="E149" t="str">
            <v>High income</v>
          </cell>
        </row>
        <row r="150">
          <cell r="A150" t="str">
            <v>South East</v>
          </cell>
          <cell r="B150" t="str">
            <v>UK</v>
          </cell>
          <cell r="C150" t="str">
            <v>Europe</v>
          </cell>
          <cell r="D150" t="str">
            <v>Oceanic</v>
          </cell>
          <cell r="E150" t="str">
            <v>High income</v>
          </cell>
        </row>
        <row r="151">
          <cell r="A151" t="str">
            <v>South West</v>
          </cell>
          <cell r="B151" t="str">
            <v>UK</v>
          </cell>
          <cell r="C151" t="str">
            <v>Europe</v>
          </cell>
          <cell r="D151" t="str">
            <v>Oceanic</v>
          </cell>
          <cell r="E151" t="str">
            <v>High income</v>
          </cell>
        </row>
        <row r="152">
          <cell r="A152" t="str">
            <v>Wales</v>
          </cell>
          <cell r="B152" t="str">
            <v>UK</v>
          </cell>
          <cell r="C152" t="str">
            <v>Europe</v>
          </cell>
          <cell r="D152" t="str">
            <v>Oceanic</v>
          </cell>
          <cell r="E152" t="str">
            <v>High income</v>
          </cell>
        </row>
        <row r="153">
          <cell r="A153" t="str">
            <v>Scotland</v>
          </cell>
          <cell r="B153" t="str">
            <v>UK</v>
          </cell>
          <cell r="C153" t="str">
            <v>Europe</v>
          </cell>
          <cell r="D153" t="str">
            <v>Oceanic</v>
          </cell>
          <cell r="E153" t="str">
            <v>High income</v>
          </cell>
        </row>
        <row r="154">
          <cell r="A154" t="str">
            <v>--- Asia (China Specific) ---</v>
          </cell>
          <cell r="B154" t="str">
            <v>  </v>
          </cell>
          <cell r="C154" t="str">
            <v>  </v>
          </cell>
          <cell r="D154" t="str">
            <v>  </v>
          </cell>
          <cell r="E154" t="str">
            <v>  </v>
          </cell>
        </row>
        <row r="155">
          <cell r="A155" t="str">
            <v>China</v>
          </cell>
          <cell r="B155" t="str">
            <v>China</v>
          </cell>
          <cell r="C155" t="str">
            <v>Asia</v>
          </cell>
          <cell r="D155" t="str">
            <v>  </v>
          </cell>
          <cell r="E155" t="str">
            <v>Upper-middle income</v>
          </cell>
        </row>
        <row r="156">
          <cell r="A156" t="str">
            <v>Hulunbuir, China</v>
          </cell>
          <cell r="B156" t="str">
            <v>Hulunbuir, China</v>
          </cell>
          <cell r="C156" t="str">
            <v>Asia</v>
          </cell>
          <cell r="D156" t="str">
            <v>Continental Monsoon</v>
          </cell>
          <cell r="E156" t="str">
            <v>Upper-middle income</v>
          </cell>
        </row>
        <row r="157">
          <cell r="A157" t="str">
            <v>Gansu, China</v>
          </cell>
          <cell r="B157" t="str">
            <v>Gansu, China</v>
          </cell>
          <cell r="C157" t="str">
            <v>Asia</v>
          </cell>
          <cell r="D157" t="str">
            <v>Semi-arid</v>
          </cell>
          <cell r="E157" t="str">
            <v>Upper-middle income</v>
          </cell>
        </row>
        <row r="158">
          <cell r="A158" t="str">
            <v>Dingxi, China</v>
          </cell>
          <cell r="B158" t="str">
            <v>Dingxi, China</v>
          </cell>
          <cell r="C158" t="str">
            <v>Asia</v>
          </cell>
          <cell r="D158" t="str">
            <v>Semi-arid</v>
          </cell>
          <cell r="E158" t="str">
            <v>Upper-middle income</v>
          </cell>
        </row>
        <row r="159">
          <cell r="A159" t="str">
            <v>Tianshui, China</v>
          </cell>
          <cell r="B159" t="str">
            <v>Tianshui, China</v>
          </cell>
          <cell r="C159" t="str">
            <v>Asia</v>
          </cell>
          <cell r="D159" t="str">
            <v>Semi-arid</v>
          </cell>
          <cell r="E159" t="str">
            <v>Upper-middle income</v>
          </cell>
        </row>
        <row r="160">
          <cell r="A160" t="str">
            <v>Nanxiong, China</v>
          </cell>
          <cell r="B160" t="str">
            <v>Nanxiong, China</v>
          </cell>
          <cell r="C160" t="str">
            <v>Asia</v>
          </cell>
          <cell r="D160" t="str">
            <v>Humid Subtropical</v>
          </cell>
          <cell r="E160" t="str">
            <v>Upper-middle income</v>
          </cell>
        </row>
        <row r="161">
          <cell r="A161" t="str">
            <v>Taishan, China</v>
          </cell>
          <cell r="B161" t="str">
            <v>Taishan, China</v>
          </cell>
          <cell r="C161" t="str">
            <v>Asia</v>
          </cell>
          <cell r="D161" t="str">
            <v>Humid Subtropical</v>
          </cell>
          <cell r="E161" t="str">
            <v>Upper-middle income</v>
          </cell>
        </row>
        <row r="162">
          <cell r="A162" t="str">
            <v>Anhui, China</v>
          </cell>
          <cell r="B162" t="str">
            <v>Anhui, China</v>
          </cell>
          <cell r="C162" t="str">
            <v>Asia</v>
          </cell>
          <cell r="D162" t="str">
            <v>Humid Subtropical</v>
          </cell>
          <cell r="E162" t="str">
            <v>Upper-middle income</v>
          </cell>
        </row>
        <row r="163">
          <cell r="A163" t="str">
            <v>Hunan, China</v>
          </cell>
          <cell r="B163" t="str">
            <v>Hunan, China</v>
          </cell>
          <cell r="C163" t="str">
            <v>Asia</v>
          </cell>
          <cell r="D163" t="str">
            <v>Humid Subtropical</v>
          </cell>
          <cell r="E163" t="str">
            <v>Upper-middle income</v>
          </cell>
        </row>
        <row r="164">
          <cell r="A164" t="str">
            <v>Shenzhen,China</v>
          </cell>
          <cell r="B164" t="str">
            <v>Shenzhen, China</v>
          </cell>
          <cell r="C164" t="str">
            <v>Asia</v>
          </cell>
          <cell r="D164" t="str">
            <v>Humid Subtropical</v>
          </cell>
          <cell r="E164" t="str">
            <v>Upper-middle income</v>
          </cell>
        </row>
        <row r="165">
          <cell r="A165" t="str">
            <v>--- Asia (Korea Specific) ---</v>
          </cell>
          <cell r="B165" t="str">
            <v>  </v>
          </cell>
          <cell r="C165" t="str">
            <v>  </v>
          </cell>
          <cell r="D165" t="str">
            <v>  </v>
          </cell>
          <cell r="E165" t="str">
            <v>  </v>
          </cell>
        </row>
        <row r="166">
          <cell r="A166" t="str">
            <v>Incheon, Korea</v>
          </cell>
          <cell r="B166" t="str">
            <v>Incheon, South Korea</v>
          </cell>
          <cell r="C166" t="str">
            <v>Asia</v>
          </cell>
          <cell r="D166" t="str">
            <v>Continental Monsoon</v>
          </cell>
          <cell r="E166" t="str">
            <v>High income</v>
          </cell>
        </row>
        <row r="167">
          <cell r="A167" t="str">
            <v>GwangJu</v>
          </cell>
          <cell r="B167" t="str">
            <v>Gwangju, South Korea</v>
          </cell>
          <cell r="C167" t="str">
            <v>Asia</v>
          </cell>
          <cell r="D167" t="str">
            <v>Humid Subtropical</v>
          </cell>
          <cell r="E167" t="str">
            <v>High income</v>
          </cell>
        </row>
        <row r="168">
          <cell r="A168" t="str">
            <v>Daejeon</v>
          </cell>
          <cell r="B168" t="str">
            <v>Daejeon, South Korea</v>
          </cell>
          <cell r="C168" t="str">
            <v>Asia</v>
          </cell>
          <cell r="D168" t="str">
            <v>Continental Monsoon</v>
          </cell>
          <cell r="E168" t="str">
            <v>High income</v>
          </cell>
        </row>
        <row r="169">
          <cell r="A169" t="str">
            <v>Ulsan</v>
          </cell>
          <cell r="B169" t="str">
            <v>Ulsan, South Korea</v>
          </cell>
          <cell r="C169" t="str">
            <v>Asia</v>
          </cell>
          <cell r="D169" t="str">
            <v>Humid Subtropical</v>
          </cell>
          <cell r="E169" t="str">
            <v>High income</v>
          </cell>
        </row>
        <row r="170">
          <cell r="A170" t="str">
            <v>Gyeonggido</v>
          </cell>
          <cell r="B170" t="str">
            <v>Gyeonggi, South Korea</v>
          </cell>
          <cell r="C170" t="str">
            <v>Asia</v>
          </cell>
          <cell r="D170" t="str">
            <v>Continental Monsoon</v>
          </cell>
          <cell r="E170" t="str">
            <v>High income</v>
          </cell>
        </row>
        <row r="171">
          <cell r="A171" t="str">
            <v>Gangwondo</v>
          </cell>
          <cell r="B171" t="str">
            <v>Gangwon, South Korea</v>
          </cell>
          <cell r="C171" t="str">
            <v>Asia</v>
          </cell>
          <cell r="D171" t="str">
            <v>Continental Monsoon</v>
          </cell>
          <cell r="E171" t="str">
            <v>High income</v>
          </cell>
        </row>
        <row r="172">
          <cell r="A172" t="str">
            <v>Chungcheongbukdo</v>
          </cell>
          <cell r="B172" t="str">
            <v>Chungbuk, South Korea</v>
          </cell>
          <cell r="C172" t="str">
            <v>Asia</v>
          </cell>
          <cell r="D172" t="str">
            <v>Continental Monsoon</v>
          </cell>
          <cell r="E172" t="str">
            <v>High income</v>
          </cell>
        </row>
        <row r="173">
          <cell r="A173" t="str">
            <v>Chungcheongnamdo</v>
          </cell>
          <cell r="B173" t="str">
            <v>Chungnam, South Korea</v>
          </cell>
          <cell r="C173" t="str">
            <v>Asia</v>
          </cell>
          <cell r="D173" t="str">
            <v>Continental Monsoon</v>
          </cell>
          <cell r="E173" t="str">
            <v>High income</v>
          </cell>
        </row>
        <row r="174">
          <cell r="A174" t="str">
            <v>Jeollabukdo</v>
          </cell>
          <cell r="B174" t="str">
            <v>Jeonbuk, South Korea</v>
          </cell>
          <cell r="C174" t="str">
            <v>Asia</v>
          </cell>
          <cell r="D174" t="str">
            <v>Humid Subtropical</v>
          </cell>
          <cell r="E174" t="str">
            <v>High income</v>
          </cell>
        </row>
        <row r="175">
          <cell r="A175" t="str">
            <v>Jeollanamdo</v>
          </cell>
          <cell r="B175" t="str">
            <v>Jeonnam, South Korea</v>
          </cell>
          <cell r="C175" t="str">
            <v>Asia</v>
          </cell>
          <cell r="D175" t="str">
            <v>Humid Subtropical</v>
          </cell>
          <cell r="E175" t="str">
            <v>High income</v>
          </cell>
        </row>
        <row r="176">
          <cell r="A176" t="str">
            <v>Gyeongsangbukdo</v>
          </cell>
          <cell r="B176" t="str">
            <v>Gyeongbuk, South Korea</v>
          </cell>
          <cell r="C176" t="str">
            <v>Asia</v>
          </cell>
          <cell r="D176" t="str">
            <v>Humid Subtropical</v>
          </cell>
          <cell r="E176" t="str">
            <v>High income</v>
          </cell>
        </row>
        <row r="177">
          <cell r="A177" t="str">
            <v>Gyeongsangnamdo</v>
          </cell>
          <cell r="B177" t="str">
            <v>Gyeongnam, South Korea</v>
          </cell>
          <cell r="C177" t="str">
            <v>Asia</v>
          </cell>
          <cell r="D177" t="str">
            <v>Humid Subtropical</v>
          </cell>
          <cell r="E177" t="str">
            <v>High income</v>
          </cell>
        </row>
        <row r="178">
          <cell r="A178" t="str">
            <v>Jejudo</v>
          </cell>
          <cell r="B178" t="str">
            <v>Jeju, South Korea</v>
          </cell>
          <cell r="C178" t="str">
            <v>Asia</v>
          </cell>
          <cell r="D178" t="str">
            <v>Humid Subtropical</v>
          </cell>
          <cell r="E178" t="str">
            <v>High income</v>
          </cell>
        </row>
        <row r="179">
          <cell r="A179" t="str">
            <v>Korea With dementia</v>
          </cell>
          <cell r="B179" t="str">
            <v>South Korea</v>
          </cell>
          <cell r="C179" t="str">
            <v>Asia</v>
          </cell>
          <cell r="D179" t="str">
            <v>Continental Monsoon</v>
          </cell>
          <cell r="E179" t="str">
            <v>High income</v>
          </cell>
        </row>
        <row r="180">
          <cell r="A180" t="str">
            <v>Korea Without dementia</v>
          </cell>
          <cell r="B180" t="str">
            <v>South Korea</v>
          </cell>
          <cell r="C180" t="str">
            <v>Asia</v>
          </cell>
          <cell r="D180" t="str">
            <v>Continental Monsoon</v>
          </cell>
          <cell r="E180" t="str">
            <v>High income</v>
          </cell>
        </row>
        <row r="181">
          <cell r="A181" t="str">
            <v>--- Asia (Other) ---</v>
          </cell>
          <cell r="B181" t="str">
            <v>  </v>
          </cell>
          <cell r="C181" t="str">
            <v>  </v>
          </cell>
          <cell r="D181" t="str">
            <v>  </v>
          </cell>
          <cell r="E181" t="str">
            <v>  </v>
          </cell>
        </row>
        <row r="182">
          <cell r="A182" t="str">
            <v>Afghanistan</v>
          </cell>
          <cell r="B182" t="str">
            <v>Afghanistan</v>
          </cell>
          <cell r="C182" t="str">
            <v>Asia</v>
          </cell>
          <cell r="D182" t="str">
            <v>Semi-arid</v>
          </cell>
          <cell r="E182" t="str">
            <v>Low income</v>
          </cell>
        </row>
        <row r="183">
          <cell r="A183" t="str">
            <v>Ho Chi Minh City,Vietnam</v>
          </cell>
          <cell r="B183" t="str">
            <v>Ho Chi Minh City</v>
          </cell>
          <cell r="C183" t="str">
            <v>Asia</v>
          </cell>
          <cell r="D183" t="str">
            <v>Tropical</v>
          </cell>
          <cell r="E183" t="str">
            <v>Lower-middle income</v>
          </cell>
        </row>
        <row r="184">
          <cell r="A184" t="str">
            <v>--- North America (USA) ---</v>
          </cell>
          <cell r="B184" t="str">
            <v>  </v>
          </cell>
          <cell r="C184" t="str">
            <v>  </v>
          </cell>
          <cell r="D184" t="str">
            <v>  </v>
          </cell>
          <cell r="E184" t="str">
            <v>  </v>
          </cell>
        </row>
        <row r="185">
          <cell r="A185" t="str">
            <v>Carolina, USA</v>
          </cell>
          <cell r="B185" t="str">
            <v>North Carolina, USA</v>
          </cell>
          <cell r="C185" t="str">
            <v>North America</v>
          </cell>
          <cell r="D185" t="str">
            <v>Humid Subtropical</v>
          </cell>
          <cell r="E185" t="str">
            <v>High income</v>
          </cell>
        </row>
        <row r="186">
          <cell r="A186" t="str">
            <v>USA (California)</v>
          </cell>
          <cell r="B186" t="str">
            <v>California, USA</v>
          </cell>
          <cell r="C186" t="str">
            <v>North America</v>
          </cell>
          <cell r="D186" t="str">
            <v>Mediterranean</v>
          </cell>
          <cell r="E186" t="str">
            <v>High income</v>
          </cell>
        </row>
        <row r="187">
          <cell r="A187" t="str">
            <v>Temperate climates area, USA</v>
          </cell>
          <cell r="B187" t="str">
            <v>USA</v>
          </cell>
          <cell r="C187" t="str">
            <v>North America</v>
          </cell>
          <cell r="D187" t="str">
            <v>Humid Subtropical</v>
          </cell>
          <cell r="E187" t="str">
            <v>High income</v>
          </cell>
        </row>
        <row r="188">
          <cell r="A188" t="str">
            <v>Continental climates area, USA</v>
          </cell>
          <cell r="B188" t="str">
            <v>USA</v>
          </cell>
          <cell r="C188" t="str">
            <v>North America</v>
          </cell>
          <cell r="D188" t="str">
            <v>Humid Continental</v>
          </cell>
          <cell r="E188" t="str">
            <v>High income</v>
          </cell>
        </row>
        <row r="189">
          <cell r="A189" t="str">
            <v>Arid climates area, USA</v>
          </cell>
          <cell r="B189" t="str">
            <v>USA</v>
          </cell>
          <cell r="C189" t="str">
            <v>North America</v>
          </cell>
          <cell r="D189" t="str">
            <v>Arid</v>
          </cell>
          <cell r="E189" t="str">
            <v>High income</v>
          </cell>
        </row>
        <row r="190">
          <cell r="A190" t="str">
            <v>Tropical climates area, USA</v>
          </cell>
          <cell r="B190" t="str">
            <v>USA</v>
          </cell>
          <cell r="C190" t="str">
            <v>North America</v>
          </cell>
          <cell r="D190" t="str">
            <v>Tropical</v>
          </cell>
          <cell r="E190" t="str">
            <v>High income</v>
          </cell>
        </row>
        <row r="191">
          <cell r="A191" t="str">
            <v>120 Large Urban Areas, USA</v>
          </cell>
          <cell r="B191" t="str">
            <v>USA</v>
          </cell>
          <cell r="C191" t="str">
            <v>North America</v>
          </cell>
          <cell r="D191" t="str">
            <v>  </v>
          </cell>
          <cell r="E191" t="str">
            <v>High income</v>
          </cell>
        </row>
        <row r="192">
          <cell r="A192" t="str">
            <v>--- South America (Brazil) ---</v>
          </cell>
          <cell r="B192" t="str">
            <v>  </v>
          </cell>
          <cell r="C192" t="str">
            <v>  </v>
          </cell>
          <cell r="D192" t="str">
            <v>  </v>
          </cell>
          <cell r="E192" t="str">
            <v>  </v>
          </cell>
        </row>
        <row r="193">
          <cell r="A193" t="str">
            <v>Goiânia</v>
          </cell>
          <cell r="B193" t="str">
            <v>Goiania, Brazil</v>
          </cell>
          <cell r="C193" t="str">
            <v>South America</v>
          </cell>
          <cell r="D193" t="str">
            <v>Tropical</v>
          </cell>
          <cell r="E193" t="str">
            <v>Upper-middle income</v>
          </cell>
        </row>
        <row r="194">
          <cell r="A194" t="str">
            <v>Vale do Rio Cuiabá</v>
          </cell>
          <cell r="B194" t="str">
            <v>Cuiaba, Brazil</v>
          </cell>
          <cell r="C194" t="str">
            <v>South America</v>
          </cell>
          <cell r="D194" t="str">
            <v>Tropical</v>
          </cell>
          <cell r="E194" t="str">
            <v>Upper-middle income</v>
          </cell>
        </row>
        <row r="195">
          <cell r="A195" t="str">
            <v>Aracaju</v>
          </cell>
          <cell r="B195" t="str">
            <v>Aracaju, Brazil</v>
          </cell>
          <cell r="C195" t="str">
            <v>South America</v>
          </cell>
          <cell r="D195" t="str">
            <v>Tropical</v>
          </cell>
          <cell r="E195" t="str">
            <v>Upper-middle income</v>
          </cell>
        </row>
        <row r="196">
          <cell r="A196" t="str">
            <v>Campina Grande</v>
          </cell>
          <cell r="B196" t="str">
            <v>Campina Grande, Brazil</v>
          </cell>
          <cell r="C196" t="str">
            <v>South America</v>
          </cell>
          <cell r="D196" t="str">
            <v>Tropical</v>
          </cell>
          <cell r="E196" t="str">
            <v>Upper-middle income</v>
          </cell>
        </row>
        <row r="197">
          <cell r="A197" t="str">
            <v>Cariri</v>
          </cell>
          <cell r="B197" t="str">
            <v>Cariri, Brazil</v>
          </cell>
          <cell r="C197" t="str">
            <v>South America</v>
          </cell>
          <cell r="D197" t="str">
            <v>Tropical</v>
          </cell>
          <cell r="E197" t="str">
            <v>Upper-middle income</v>
          </cell>
        </row>
        <row r="198">
          <cell r="A198" t="str">
            <v>Feira de Santana</v>
          </cell>
          <cell r="B198" t="str">
            <v>Bahia, Brazil</v>
          </cell>
          <cell r="C198" t="str">
            <v>South America</v>
          </cell>
          <cell r="D198" t="str">
            <v>Tropical</v>
          </cell>
          <cell r="E198" t="str">
            <v>Upper-middle income</v>
          </cell>
        </row>
        <row r="199">
          <cell r="A199" t="str">
            <v>Fortaleza</v>
          </cell>
          <cell r="B199" t="str">
            <v>Fortaleza, Brazil</v>
          </cell>
          <cell r="C199" t="str">
            <v>South America</v>
          </cell>
          <cell r="D199" t="str">
            <v>Tropical</v>
          </cell>
          <cell r="E199" t="str">
            <v>Upper-middle income</v>
          </cell>
        </row>
        <row r="200">
          <cell r="A200" t="str">
            <v>Grande São Luís</v>
          </cell>
          <cell r="B200" t="str">
            <v>Sao Luis, Brazil</v>
          </cell>
          <cell r="C200" t="str">
            <v>South America</v>
          </cell>
          <cell r="D200" t="str">
            <v>Tropical</v>
          </cell>
          <cell r="E200" t="str">
            <v>Upper-middle income</v>
          </cell>
        </row>
        <row r="201">
          <cell r="A201" t="str">
            <v>João Pessoa</v>
          </cell>
          <cell r="B201" t="str">
            <v>Joao Pessoa, Brazil</v>
          </cell>
          <cell r="C201" t="str">
            <v>South America</v>
          </cell>
          <cell r="D201" t="str">
            <v>Tropical</v>
          </cell>
          <cell r="E201" t="str">
            <v>Upper-middle income</v>
          </cell>
        </row>
        <row r="202">
          <cell r="A202" t="str">
            <v>Maceió</v>
          </cell>
          <cell r="B202" t="str">
            <v>Maceio, Brazil</v>
          </cell>
          <cell r="C202" t="str">
            <v>South America</v>
          </cell>
          <cell r="D202" t="str">
            <v>Tropical</v>
          </cell>
          <cell r="E202" t="str">
            <v>Upper-middle income</v>
          </cell>
        </row>
        <row r="203">
          <cell r="A203" t="str">
            <v>Natal</v>
          </cell>
          <cell r="B203" t="str">
            <v>Natal, Brazil</v>
          </cell>
          <cell r="C203" t="str">
            <v>South America</v>
          </cell>
          <cell r="D203" t="str">
            <v>Tropical</v>
          </cell>
          <cell r="E203" t="str">
            <v>Upper-middle income</v>
          </cell>
        </row>
        <row r="204">
          <cell r="A204" t="str">
            <v>Palmeira dos Índios</v>
          </cell>
          <cell r="B204" t="str">
            <v>Alagoas, Brazil</v>
          </cell>
          <cell r="C204" t="str">
            <v>South America</v>
          </cell>
          <cell r="D204" t="str">
            <v>Tropical</v>
          </cell>
          <cell r="E204" t="str">
            <v>Upper-middle income</v>
          </cell>
        </row>
        <row r="205">
          <cell r="A205" t="str">
            <v>Patos</v>
          </cell>
          <cell r="B205" t="str">
            <v>Paraiba, Brazil</v>
          </cell>
          <cell r="C205" t="str">
            <v>South America</v>
          </cell>
          <cell r="D205" t="str">
            <v>Tropical</v>
          </cell>
          <cell r="E205" t="str">
            <v>Upper-middle income</v>
          </cell>
        </row>
        <row r="206">
          <cell r="A206" t="str">
            <v>Recife</v>
          </cell>
          <cell r="B206" t="str">
            <v>Recife, Brazil</v>
          </cell>
          <cell r="C206" t="str">
            <v>South America</v>
          </cell>
          <cell r="D206" t="str">
            <v>Tropical</v>
          </cell>
          <cell r="E206" t="str">
            <v>Upper-middle income</v>
          </cell>
        </row>
        <row r="207">
          <cell r="A207" t="str">
            <v>Salvador</v>
          </cell>
          <cell r="B207" t="str">
            <v>Salvador, Brazil</v>
          </cell>
          <cell r="C207" t="str">
            <v>South America</v>
          </cell>
          <cell r="D207" t="str">
            <v>Tropical</v>
          </cell>
          <cell r="E207" t="str">
            <v>Upper-middle income</v>
          </cell>
        </row>
        <row r="208">
          <cell r="A208" t="str">
            <v>Sudoeste Maranhense</v>
          </cell>
          <cell r="B208" t="str">
            <v>Maranhao, Brazil</v>
          </cell>
          <cell r="C208" t="str">
            <v>South America</v>
          </cell>
          <cell r="D208" t="str">
            <v>Tropical</v>
          </cell>
          <cell r="E208" t="str">
            <v>Upper-middle income</v>
          </cell>
        </row>
        <row r="209">
          <cell r="A209" t="str">
            <v>Belém</v>
          </cell>
          <cell r="B209" t="str">
            <v>Belem, Brazil</v>
          </cell>
          <cell r="C209" t="str">
            <v>South America</v>
          </cell>
          <cell r="D209" t="str">
            <v>Tropical</v>
          </cell>
          <cell r="E209" t="str">
            <v>Upper-middle income</v>
          </cell>
        </row>
        <row r="210">
          <cell r="A210" t="str">
            <v>Capital</v>
          </cell>
          <cell r="B210" t="str">
            <v>Brasilia, Brazil</v>
          </cell>
          <cell r="C210" t="str">
            <v>South America</v>
          </cell>
          <cell r="D210" t="str">
            <v>Tropical</v>
          </cell>
          <cell r="E210" t="str">
            <v>Upper-middle income</v>
          </cell>
        </row>
        <row r="211">
          <cell r="A211" t="str">
            <v>Gurupi</v>
          </cell>
          <cell r="B211" t="str">
            <v>Tocantins, Brazil</v>
          </cell>
          <cell r="C211" t="str">
            <v>South America</v>
          </cell>
          <cell r="D211" t="str">
            <v>Tropical</v>
          </cell>
          <cell r="E211" t="str">
            <v>Upper-middle income</v>
          </cell>
        </row>
        <row r="212">
          <cell r="A212" t="str">
            <v>Macapá</v>
          </cell>
          <cell r="B212" t="str">
            <v>Macapa, Brazil</v>
          </cell>
          <cell r="C212" t="str">
            <v>South America</v>
          </cell>
          <cell r="D212" t="str">
            <v>Tropical</v>
          </cell>
          <cell r="E212" t="str">
            <v>Upper-middle income</v>
          </cell>
        </row>
        <row r="213">
          <cell r="A213" t="str">
            <v>Palmas</v>
          </cell>
          <cell r="B213" t="str">
            <v>Palmas, Brazil</v>
          </cell>
          <cell r="C213" t="str">
            <v>South America</v>
          </cell>
          <cell r="D213" t="str">
            <v>Tropical</v>
          </cell>
          <cell r="E213" t="str">
            <v>Upper-middle income</v>
          </cell>
        </row>
        <row r="214">
          <cell r="A214" t="str">
            <v>Belo Horizonte</v>
          </cell>
          <cell r="B214" t="str">
            <v>Belo Horizonte, Brazil</v>
          </cell>
          <cell r="C214" t="str">
            <v>South America</v>
          </cell>
          <cell r="D214" t="str">
            <v>Tropical</v>
          </cell>
          <cell r="E214" t="str">
            <v>Upper-middle income</v>
          </cell>
        </row>
        <row r="215">
          <cell r="A215" t="str">
            <v>Grande Vitória</v>
          </cell>
          <cell r="B215" t="str">
            <v>Vitoria, Brazil</v>
          </cell>
          <cell r="C215" t="str">
            <v>South America</v>
          </cell>
          <cell r="D215" t="str">
            <v>Tropical</v>
          </cell>
          <cell r="E215" t="str">
            <v>Upper-middle income</v>
          </cell>
        </row>
        <row r="216">
          <cell r="A216" t="str">
            <v>RibeirãoPreto</v>
          </cell>
          <cell r="B216" t="str">
            <v>Sao Paulo State, Brazil</v>
          </cell>
          <cell r="C216" t="str">
            <v>South America</v>
          </cell>
          <cell r="D216" t="str">
            <v>Humid Subtropical</v>
          </cell>
          <cell r="E216" t="str">
            <v>Upper-middle income</v>
          </cell>
        </row>
        <row r="217">
          <cell r="A217" t="str">
            <v>São Paulo</v>
          </cell>
          <cell r="B217" t="str">
            <v>São Paulo, Brazil</v>
          </cell>
          <cell r="C217" t="str">
            <v>South America</v>
          </cell>
          <cell r="D217" t="str">
            <v>Humid Subtropical</v>
          </cell>
          <cell r="E217" t="str">
            <v>Upper-middle income</v>
          </cell>
        </row>
        <row r="218">
          <cell r="A218" t="str">
            <v>Sorocaba</v>
          </cell>
          <cell r="B218" t="str">
            <v>Sao Paulo State, Brazil</v>
          </cell>
          <cell r="C218" t="str">
            <v>South America</v>
          </cell>
          <cell r="D218" t="str">
            <v>Humid Subtropical</v>
          </cell>
          <cell r="E218" t="str">
            <v>Upper-middle income</v>
          </cell>
        </row>
        <row r="219">
          <cell r="A219" t="str">
            <v>Vale do Aço</v>
          </cell>
          <cell r="B219" t="str">
            <v>Minas Gerais, Brazil</v>
          </cell>
          <cell r="C219" t="str">
            <v>South America</v>
          </cell>
          <cell r="D219" t="str">
            <v>Tropical</v>
          </cell>
          <cell r="E219" t="str">
            <v>Upper-middle income</v>
          </cell>
        </row>
        <row r="220">
          <cell r="A220" t="str">
            <v>Vale do Paraíba e Litoral Norte</v>
          </cell>
          <cell r="B220" t="str">
            <v>Sao Paulo State, Brazil</v>
          </cell>
          <cell r="C220" t="str">
            <v>South America</v>
          </cell>
          <cell r="D220" t="str">
            <v>Humid Subtropical</v>
          </cell>
          <cell r="E220" t="str">
            <v>Upper-middle income</v>
          </cell>
        </row>
        <row r="221">
          <cell r="A221" t="str">
            <v>Campo Mourão</v>
          </cell>
          <cell r="B221" t="str">
            <v>Parana, Brazil</v>
          </cell>
          <cell r="C221" t="str">
            <v>South America</v>
          </cell>
          <cell r="D221" t="str">
            <v>Humid Subtropical</v>
          </cell>
          <cell r="E221" t="str">
            <v>Upper-middle income</v>
          </cell>
        </row>
        <row r="222">
          <cell r="A222" t="str">
            <v>Carbonífera</v>
          </cell>
          <cell r="B222" t="str">
            <v>Santa Catarina, Brazil</v>
          </cell>
          <cell r="C222" t="str">
            <v>South America</v>
          </cell>
          <cell r="D222" t="str">
            <v>Humid Subtropical</v>
          </cell>
          <cell r="E222" t="str">
            <v>Upper-middle income</v>
          </cell>
        </row>
        <row r="223">
          <cell r="A223" t="str">
            <v>Chapecó</v>
          </cell>
          <cell r="B223" t="str">
            <v>Santa Catarina, Brazil</v>
          </cell>
          <cell r="C223" t="str">
            <v>South America</v>
          </cell>
          <cell r="D223" t="str">
            <v>Humid Subtropical</v>
          </cell>
          <cell r="E223" t="str">
            <v>Upper-middle income</v>
          </cell>
        </row>
        <row r="224">
          <cell r="A224" t="str">
            <v>Contestado</v>
          </cell>
          <cell r="B224" t="str">
            <v>Santa Catarina, Brazil</v>
          </cell>
          <cell r="C224" t="str">
            <v>South America</v>
          </cell>
          <cell r="D224" t="str">
            <v>Humid Subtropical</v>
          </cell>
          <cell r="E224" t="str">
            <v>Upper-middle income</v>
          </cell>
        </row>
        <row r="225">
          <cell r="A225" t="str">
            <v>Curitiba</v>
          </cell>
          <cell r="B225" t="str">
            <v>Curitiba, Brazil</v>
          </cell>
          <cell r="C225" t="str">
            <v>South America</v>
          </cell>
          <cell r="D225" t="str">
            <v>Humid Subtropical</v>
          </cell>
          <cell r="E225" t="str">
            <v>Upper-middle income</v>
          </cell>
        </row>
        <row r="226">
          <cell r="A226" t="str">
            <v>Florianópolis</v>
          </cell>
          <cell r="B226" t="str">
            <v>Florianopolis, Brazil</v>
          </cell>
          <cell r="C226" t="str">
            <v>South America</v>
          </cell>
          <cell r="D226" t="str">
            <v>Humid Subtropical</v>
          </cell>
          <cell r="E226" t="str">
            <v>Upper-middle income</v>
          </cell>
        </row>
        <row r="227">
          <cell r="A227" t="str">
            <v>Lages</v>
          </cell>
          <cell r="B227" t="str">
            <v>Santa Catarina, Brazil</v>
          </cell>
          <cell r="C227" t="str">
            <v>South America</v>
          </cell>
          <cell r="D227" t="str">
            <v>Humid Subtropical</v>
          </cell>
          <cell r="E227" t="str">
            <v>Upper-middle income</v>
          </cell>
        </row>
        <row r="228">
          <cell r="A228" t="str">
            <v>Londrina</v>
          </cell>
          <cell r="B228" t="str">
            <v>Parana, Brazil</v>
          </cell>
          <cell r="C228" t="str">
            <v>South America</v>
          </cell>
          <cell r="D228" t="str">
            <v>Humid Subtropical</v>
          </cell>
          <cell r="E228" t="str">
            <v>Upper-middle income</v>
          </cell>
        </row>
        <row r="229">
          <cell r="A229" t="str">
            <v>Maringá</v>
          </cell>
          <cell r="B229" t="str">
            <v>Parana, Brazil</v>
          </cell>
          <cell r="C229" t="str">
            <v>South America</v>
          </cell>
          <cell r="D229" t="str">
            <v>Humid Subtropical</v>
          </cell>
          <cell r="E229" t="str">
            <v>Upper-middle income</v>
          </cell>
        </row>
        <row r="230">
          <cell r="A230" t="str">
            <v>Porto Alegre</v>
          </cell>
          <cell r="B230" t="str">
            <v>Porto Alegre, Brazil</v>
          </cell>
          <cell r="C230" t="str">
            <v>South America</v>
          </cell>
          <cell r="D230" t="str">
            <v>Humid Subtropical</v>
          </cell>
          <cell r="E230" t="str">
            <v>Upper-middle income</v>
          </cell>
        </row>
        <row r="231">
          <cell r="A231" t="str">
            <v>Serra Gaúcha</v>
          </cell>
          <cell r="B231" t="str">
            <v>Rio Grande do Sul, Brazil</v>
          </cell>
          <cell r="C231" t="str">
            <v>South America</v>
          </cell>
          <cell r="D231" t="str">
            <v>Humid Subtropical</v>
          </cell>
          <cell r="E231" t="str">
            <v>Upper-middle income</v>
          </cell>
        </row>
        <row r="232">
          <cell r="A232" t="str">
            <v>Vale do Itajaí</v>
          </cell>
          <cell r="B232" t="str">
            <v>Santa Catarina, Brazil</v>
          </cell>
          <cell r="C232" t="str">
            <v>South America</v>
          </cell>
          <cell r="D232" t="str">
            <v>Humid Subtropical</v>
          </cell>
          <cell r="E232" t="str">
            <v>Upper-middle income</v>
          </cell>
        </row>
        <row r="233">
          <cell r="A233" t="str">
            <v>--- Oceania ---</v>
          </cell>
          <cell r="B233" t="str">
            <v>  </v>
          </cell>
          <cell r="C233" t="str">
            <v>  </v>
          </cell>
          <cell r="D233" t="str">
            <v>  </v>
          </cell>
          <cell r="E233" t="str">
            <v>  </v>
          </cell>
        </row>
        <row r="234">
          <cell r="A234" t="str">
            <v>Australia</v>
          </cell>
          <cell r="B234" t="str">
            <v>Australia</v>
          </cell>
          <cell r="C234" t="str">
            <v>Oceania</v>
          </cell>
          <cell r="D234" t="str">
            <v>  </v>
          </cell>
          <cell r="E234" t="str">
            <v>High income</v>
          </cell>
        </row>
        <row r="235">
          <cell r="A235" t="str">
            <v>outage scenario in Victoria, Australia</v>
          </cell>
          <cell r="B235" t="str">
            <v>Australia (Victoria)</v>
          </cell>
          <cell r="C235" t="str">
            <v>Oceania</v>
          </cell>
          <cell r="D235" t="str">
            <v>Oceanic</v>
          </cell>
          <cell r="E235" t="str">
            <v>High income</v>
          </cell>
        </row>
        <row r="236">
          <cell r="A236" t="str">
            <v>non-outage scenario in Victoria, Australia</v>
          </cell>
          <cell r="B236" t="str">
            <v>Australia (Victoria)</v>
          </cell>
          <cell r="C236" t="str">
            <v>Oceania</v>
          </cell>
          <cell r="D236" t="str">
            <v>Oceanic</v>
          </cell>
          <cell r="E236" t="str">
            <v>High income</v>
          </cell>
        </row>
        <row r="237">
          <cell r="A237" t="str">
            <v>Original Input (原始数据)</v>
          </cell>
          <cell r="B237" t="str">
            <v>Standardized Location</v>
          </cell>
          <cell r="C237" t="str">
            <v>Continent</v>
          </cell>
          <cell r="D237" t="str">
            <v>Refined Climate Zone</v>
          </cell>
          <cell r="E237" t="str">
            <v>Income Level</v>
          </cell>
        </row>
        <row r="238">
          <cell r="A238" t="str">
            <v>North-West</v>
          </cell>
          <cell r="B238" t="str">
            <v>UK</v>
          </cell>
          <cell r="C238" t="str">
            <v>Europe</v>
          </cell>
          <cell r="D238" t="str">
            <v>Oceanic</v>
          </cell>
          <cell r="E238" t="str">
            <v>High income</v>
          </cell>
        </row>
        <row r="239">
          <cell r="A239" t="str">
            <v>Brisbane</v>
          </cell>
          <cell r="B239" t="str">
            <v>Brisbane, Australia</v>
          </cell>
          <cell r="C239" t="str">
            <v>Oceania</v>
          </cell>
          <cell r="D239" t="str">
            <v>Humid Subtropical</v>
          </cell>
          <cell r="E239" t="str">
            <v>High income</v>
          </cell>
        </row>
        <row r="240">
          <cell r="A240" t="str">
            <v>Rome</v>
          </cell>
          <cell r="B240" t="str">
            <v>Rome, Italy</v>
          </cell>
          <cell r="C240" t="str">
            <v>Europe</v>
          </cell>
          <cell r="D240" t="str">
            <v>Mediterranean</v>
          </cell>
          <cell r="E240" t="str">
            <v>High income</v>
          </cell>
        </row>
        <row r="241">
          <cell r="A241" t="str">
            <v>Turin</v>
          </cell>
          <cell r="B241" t="str">
            <v>Turin, Italy</v>
          </cell>
          <cell r="C241" t="str">
            <v>Europe</v>
          </cell>
          <cell r="D241" t="str">
            <v>Humid Subtropical</v>
          </cell>
          <cell r="E241" t="str">
            <v>High income</v>
          </cell>
        </row>
        <row r="242">
          <cell r="A242" t="str">
            <v>outage scenario in Victoria, Australia</v>
          </cell>
          <cell r="B242" t="str">
            <v>Australia (Victoria)</v>
          </cell>
          <cell r="C242" t="str">
            <v>Oceania</v>
          </cell>
          <cell r="D242" t="str">
            <v>Oceanic</v>
          </cell>
          <cell r="E242" t="str">
            <v>High income</v>
          </cell>
        </row>
        <row r="243">
          <cell r="A243" t="str">
            <v>outage  scenario in Victoria, Australia</v>
          </cell>
          <cell r="B243" t="str">
            <v>Australia (Victoria)</v>
          </cell>
          <cell r="C243" t="str">
            <v>Oceania</v>
          </cell>
          <cell r="D243" t="str">
            <v>Oceanic</v>
          </cell>
          <cell r="E243" t="str">
            <v>High income</v>
          </cell>
        </row>
        <row r="244">
          <cell r="A244" t="str">
            <v>Anhui,China</v>
          </cell>
          <cell r="B244" t="str">
            <v>Anhui, China</v>
          </cell>
          <cell r="C244" t="str">
            <v>Asia</v>
          </cell>
          <cell r="D244" t="str">
            <v>Humid Subtropical</v>
          </cell>
          <cell r="E244" t="str">
            <v>Upper-middle income</v>
          </cell>
        </row>
        <row r="245">
          <cell r="A245" t="str">
            <v>China </v>
          </cell>
          <cell r="B245" t="str">
            <v>China</v>
          </cell>
          <cell r="C245" t="str">
            <v>Asia</v>
          </cell>
          <cell r="D245" t="str">
            <v> </v>
          </cell>
          <cell r="E245" t="str">
            <v>Upper-middle income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pubmed.ncbi.nlm.nih.gov/?term=Zhang+Y&amp;cauthor_id=32099346" TargetMode="External"/><Relationship Id="rId3" Type="http://schemas.openxmlformats.org/officeDocument/2006/relationships/hyperlink" Target="https://pubmed.ncbi.nlm.nih.gov/?term=Kim+E&amp;cauthor_id=29920466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ciencedirect.com/topics/biochemistry-genetics-and-molecular-biology/sudden-cardiac-death" TargetMode="External"/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pubmed.ncbi.nlm.nih.gov/?term=Zafirah+Y&amp;cauthor_id=34228742" TargetMode="External"/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comments" Target="../comments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K110"/>
  <sheetViews>
    <sheetView topLeftCell="A40" workbookViewId="0">
      <pane xSplit="1" topLeftCell="B1" activePane="topRight" state="frozen"/>
      <selection/>
      <selection pane="topRight" activeCell="H1" sqref="H1"/>
    </sheetView>
  </sheetViews>
  <sheetFormatPr defaultColWidth="9" defaultRowHeight="13.5"/>
  <cols>
    <col min="7" max="7" width="41.8141592920354" customWidth="1"/>
    <col min="12" max="12" width="9.90265486725664"/>
    <col min="15" max="15" width="16.0088495575221" customWidth="1"/>
    <col min="17" max="17" width="72.5486725663717" customWidth="1"/>
    <col min="23" max="23" width="58.8849557522124" customWidth="1"/>
    <col min="24" max="24" width="17.4601769911504" customWidth="1"/>
    <col min="26" max="26" width="10.7610619469027" customWidth="1"/>
  </cols>
  <sheetData>
    <row r="1" ht="13.9" spans="1:1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12" t="s">
        <v>19</v>
      </c>
      <c r="V1" s="2" t="s">
        <v>20</v>
      </c>
      <c r="W1" s="2" t="s">
        <v>21</v>
      </c>
      <c r="X1" s="2"/>
      <c r="Y1" s="2" t="s">
        <v>22</v>
      </c>
      <c r="Z1" s="2" t="s">
        <v>23</v>
      </c>
      <c r="AA1" s="2" t="s">
        <v>24</v>
      </c>
      <c r="AB1" s="2" t="s">
        <v>25</v>
      </c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</row>
    <row r="2" ht="13.85" spans="1:115">
      <c r="A2" s="2">
        <v>45</v>
      </c>
      <c r="B2" s="2">
        <v>1</v>
      </c>
      <c r="C2" s="2"/>
      <c r="D2" s="2">
        <v>2014</v>
      </c>
      <c r="E2" s="2"/>
      <c r="F2" s="2" t="s">
        <v>26</v>
      </c>
      <c r="G2" s="2" t="s">
        <v>27</v>
      </c>
      <c r="H2" s="2" t="s">
        <v>27</v>
      </c>
      <c r="I2" s="2" t="s">
        <v>28</v>
      </c>
      <c r="J2" s="2" t="s">
        <v>29</v>
      </c>
      <c r="K2" s="2" t="s">
        <v>30</v>
      </c>
      <c r="L2" s="2"/>
      <c r="M2" s="2"/>
      <c r="N2" s="2" t="s">
        <v>31</v>
      </c>
      <c r="O2" s="2"/>
      <c r="P2" s="2"/>
      <c r="Q2" s="2" t="s">
        <v>32</v>
      </c>
      <c r="R2" s="2" t="s">
        <v>33</v>
      </c>
      <c r="S2" s="2"/>
      <c r="T2" s="2" t="s">
        <v>34</v>
      </c>
      <c r="U2" s="2">
        <v>13.5</v>
      </c>
      <c r="V2" s="2" t="s">
        <v>35</v>
      </c>
      <c r="W2" s="2" t="s">
        <v>36</v>
      </c>
      <c r="X2" s="2" t="s">
        <v>37</v>
      </c>
      <c r="Y2" s="2" t="s">
        <v>38</v>
      </c>
      <c r="Z2" s="2">
        <v>1.631</v>
      </c>
      <c r="AA2" s="2">
        <v>0.984</v>
      </c>
      <c r="AB2" s="2">
        <v>2.703</v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</row>
    <row r="3" ht="13.85" spans="1:115">
      <c r="A3" s="2">
        <v>151</v>
      </c>
      <c r="B3" s="2">
        <v>1</v>
      </c>
      <c r="C3" s="2"/>
      <c r="D3" s="2">
        <v>2022</v>
      </c>
      <c r="E3" s="2"/>
      <c r="F3" s="2" t="s">
        <v>26</v>
      </c>
      <c r="G3" s="2" t="s">
        <v>39</v>
      </c>
      <c r="H3" s="2" t="s">
        <v>39</v>
      </c>
      <c r="I3" s="2" t="s">
        <v>28</v>
      </c>
      <c r="J3" s="2" t="s">
        <v>40</v>
      </c>
      <c r="K3" s="2" t="s">
        <v>30</v>
      </c>
      <c r="L3" s="2"/>
      <c r="M3" s="2">
        <v>0.407</v>
      </c>
      <c r="N3" s="2" t="s">
        <v>41</v>
      </c>
      <c r="O3" s="2"/>
      <c r="P3" s="2"/>
      <c r="Q3" s="2" t="s">
        <v>42</v>
      </c>
      <c r="R3" s="2" t="s">
        <v>33</v>
      </c>
      <c r="S3" s="2"/>
      <c r="T3" s="2" t="s">
        <v>43</v>
      </c>
      <c r="U3" s="2">
        <v>15</v>
      </c>
      <c r="V3" s="2" t="s">
        <v>35</v>
      </c>
      <c r="W3" s="2" t="s">
        <v>44</v>
      </c>
      <c r="X3" s="2" t="s">
        <v>37</v>
      </c>
      <c r="Y3" s="2" t="s">
        <v>38</v>
      </c>
      <c r="Z3" s="2">
        <v>1.56</v>
      </c>
      <c r="AA3" s="2">
        <v>1</v>
      </c>
      <c r="AB3" s="2">
        <v>2.43</v>
      </c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</row>
    <row r="4" ht="13.85" spans="1:115">
      <c r="A4" s="2">
        <v>175</v>
      </c>
      <c r="B4" s="2">
        <v>1</v>
      </c>
      <c r="C4" s="2" t="s">
        <v>45</v>
      </c>
      <c r="D4" s="2">
        <v>2023</v>
      </c>
      <c r="E4" s="2" t="s">
        <v>46</v>
      </c>
      <c r="F4" s="2" t="s">
        <v>26</v>
      </c>
      <c r="G4" s="2" t="s">
        <v>47</v>
      </c>
      <c r="H4" s="2" t="s">
        <v>47</v>
      </c>
      <c r="I4" s="2" t="s">
        <v>48</v>
      </c>
      <c r="J4" s="2" t="s">
        <v>49</v>
      </c>
      <c r="K4" s="2" t="s">
        <v>50</v>
      </c>
      <c r="L4" s="2">
        <v>48631055</v>
      </c>
      <c r="M4" s="2">
        <v>0.571</v>
      </c>
      <c r="N4" s="2" t="s">
        <v>31</v>
      </c>
      <c r="O4" s="2"/>
      <c r="P4" s="2" t="s">
        <v>51</v>
      </c>
      <c r="Q4" s="2" t="s">
        <v>52</v>
      </c>
      <c r="R4" s="2" t="s">
        <v>33</v>
      </c>
      <c r="S4" s="2"/>
      <c r="T4" s="2" t="s">
        <v>53</v>
      </c>
      <c r="U4" s="2">
        <v>10</v>
      </c>
      <c r="V4" s="2" t="s">
        <v>35</v>
      </c>
      <c r="W4" s="2" t="s">
        <v>54</v>
      </c>
      <c r="X4" s="2" t="s">
        <v>37</v>
      </c>
      <c r="Y4" s="2" t="s">
        <v>38</v>
      </c>
      <c r="Z4" s="2">
        <v>1.015</v>
      </c>
      <c r="AA4" s="2">
        <v>1.004</v>
      </c>
      <c r="AB4" s="2">
        <v>1.026</v>
      </c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</row>
    <row r="5" ht="13.9" spans="1:115">
      <c r="A5" s="2">
        <v>396</v>
      </c>
      <c r="B5" s="2">
        <v>1</v>
      </c>
      <c r="C5" s="2" t="s">
        <v>55</v>
      </c>
      <c r="D5" s="2">
        <v>2018</v>
      </c>
      <c r="E5" s="2" t="s">
        <v>56</v>
      </c>
      <c r="F5" s="2" t="s">
        <v>57</v>
      </c>
      <c r="G5" s="2" t="s">
        <v>58</v>
      </c>
      <c r="H5" s="2" t="s">
        <v>59</v>
      </c>
      <c r="I5" s="2" t="s">
        <v>28</v>
      </c>
      <c r="J5" s="2" t="s">
        <v>40</v>
      </c>
      <c r="K5" s="2" t="s">
        <v>50</v>
      </c>
      <c r="L5" s="2" t="s">
        <v>60</v>
      </c>
      <c r="M5" s="2">
        <v>1</v>
      </c>
      <c r="N5" s="2" t="s">
        <v>31</v>
      </c>
      <c r="O5" s="2"/>
      <c r="P5" s="2" t="s">
        <v>61</v>
      </c>
      <c r="Q5" s="2" t="s">
        <v>62</v>
      </c>
      <c r="R5" s="2" t="s">
        <v>33</v>
      </c>
      <c r="S5" s="2"/>
      <c r="T5" s="2" t="s">
        <v>63</v>
      </c>
      <c r="U5" s="2">
        <v>3.5</v>
      </c>
      <c r="V5" s="2" t="s">
        <v>35</v>
      </c>
      <c r="W5" s="2" t="s">
        <v>64</v>
      </c>
      <c r="X5" s="2" t="s">
        <v>37</v>
      </c>
      <c r="Y5" s="2" t="s">
        <v>38</v>
      </c>
      <c r="Z5" s="2">
        <v>1.114</v>
      </c>
      <c r="AA5" s="2">
        <v>0.903</v>
      </c>
      <c r="AB5" s="2">
        <v>1.374</v>
      </c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</row>
    <row r="6" ht="13.9" spans="1:115">
      <c r="A6" s="2">
        <v>396</v>
      </c>
      <c r="B6" s="2">
        <v>2</v>
      </c>
      <c r="C6" s="2"/>
      <c r="D6" s="2">
        <v>2018</v>
      </c>
      <c r="E6" s="2"/>
      <c r="F6" s="2" t="s">
        <v>65</v>
      </c>
      <c r="G6" s="2" t="s">
        <v>58</v>
      </c>
      <c r="H6" s="2" t="s">
        <v>59</v>
      </c>
      <c r="I6" s="2" t="s">
        <v>28</v>
      </c>
      <c r="J6" s="2" t="s">
        <v>40</v>
      </c>
      <c r="K6" s="2" t="s">
        <v>50</v>
      </c>
      <c r="L6" s="2" t="s">
        <v>66</v>
      </c>
      <c r="M6" s="2">
        <v>0</v>
      </c>
      <c r="N6" s="2" t="s">
        <v>31</v>
      </c>
      <c r="O6" s="2"/>
      <c r="P6" s="2" t="s">
        <v>61</v>
      </c>
      <c r="Q6" s="2" t="s">
        <v>62</v>
      </c>
      <c r="R6" s="2" t="s">
        <v>33</v>
      </c>
      <c r="S6" s="2"/>
      <c r="T6" s="2" t="s">
        <v>63</v>
      </c>
      <c r="U6" s="2">
        <v>3.5</v>
      </c>
      <c r="V6" s="2" t="s">
        <v>35</v>
      </c>
      <c r="W6" s="2" t="s">
        <v>64</v>
      </c>
      <c r="X6" s="2" t="s">
        <v>37</v>
      </c>
      <c r="Y6" s="2" t="s">
        <v>38</v>
      </c>
      <c r="Z6" s="2">
        <v>1.28</v>
      </c>
      <c r="AA6" s="2">
        <v>1.084</v>
      </c>
      <c r="AB6" s="2">
        <v>1.512</v>
      </c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</row>
    <row r="7" ht="13.9" spans="1:115">
      <c r="A7" s="2">
        <v>396</v>
      </c>
      <c r="B7" s="2">
        <v>3</v>
      </c>
      <c r="C7" s="2"/>
      <c r="D7" s="2">
        <v>2018</v>
      </c>
      <c r="E7" s="2"/>
      <c r="F7" s="2" t="s">
        <v>57</v>
      </c>
      <c r="G7" s="2" t="s">
        <v>67</v>
      </c>
      <c r="H7" s="2" t="s">
        <v>68</v>
      </c>
      <c r="I7" s="2" t="s">
        <v>28</v>
      </c>
      <c r="J7" s="2" t="s">
        <v>29</v>
      </c>
      <c r="K7" s="2" t="s">
        <v>50</v>
      </c>
      <c r="L7" s="2" t="s">
        <v>60</v>
      </c>
      <c r="M7" s="2">
        <v>1</v>
      </c>
      <c r="N7" s="2" t="s">
        <v>31</v>
      </c>
      <c r="O7" s="2"/>
      <c r="P7" s="2" t="s">
        <v>61</v>
      </c>
      <c r="Q7" s="2" t="s">
        <v>62</v>
      </c>
      <c r="R7" s="2" t="s">
        <v>33</v>
      </c>
      <c r="S7" s="2"/>
      <c r="T7" s="2" t="s">
        <v>63</v>
      </c>
      <c r="U7" s="2">
        <v>3.5</v>
      </c>
      <c r="V7" s="2" t="s">
        <v>35</v>
      </c>
      <c r="W7" s="2" t="s">
        <v>64</v>
      </c>
      <c r="X7" s="2" t="s">
        <v>37</v>
      </c>
      <c r="Y7" s="2" t="s">
        <v>38</v>
      </c>
      <c r="Z7" s="2">
        <v>1.194</v>
      </c>
      <c r="AA7" s="2">
        <v>0.946</v>
      </c>
      <c r="AB7" s="2">
        <v>1.508</v>
      </c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</row>
    <row r="8" ht="13.9" spans="1:115">
      <c r="A8" s="2">
        <v>396</v>
      </c>
      <c r="B8" s="2">
        <v>4</v>
      </c>
      <c r="C8" s="2"/>
      <c r="D8" s="2">
        <v>2018</v>
      </c>
      <c r="E8" s="2"/>
      <c r="F8" s="2" t="s">
        <v>65</v>
      </c>
      <c r="G8" s="2" t="s">
        <v>67</v>
      </c>
      <c r="H8" s="2" t="s">
        <v>68</v>
      </c>
      <c r="I8" s="2" t="s">
        <v>28</v>
      </c>
      <c r="J8" s="2" t="s">
        <v>29</v>
      </c>
      <c r="K8" s="2" t="s">
        <v>50</v>
      </c>
      <c r="L8" s="2" t="s">
        <v>66</v>
      </c>
      <c r="M8" s="2">
        <v>0</v>
      </c>
      <c r="N8" s="2" t="s">
        <v>31</v>
      </c>
      <c r="O8" s="2"/>
      <c r="P8" s="2" t="s">
        <v>61</v>
      </c>
      <c r="Q8" s="2" t="s">
        <v>62</v>
      </c>
      <c r="R8" s="2" t="s">
        <v>33</v>
      </c>
      <c r="S8" s="2"/>
      <c r="T8" s="2" t="s">
        <v>63</v>
      </c>
      <c r="U8" s="2">
        <v>3.5</v>
      </c>
      <c r="V8" s="2" t="s">
        <v>35</v>
      </c>
      <c r="W8" s="2" t="s">
        <v>64</v>
      </c>
      <c r="X8" s="2" t="s">
        <v>37</v>
      </c>
      <c r="Y8" s="2" t="s">
        <v>38</v>
      </c>
      <c r="Z8" s="2">
        <v>1.308</v>
      </c>
      <c r="AA8" s="2">
        <v>1.12</v>
      </c>
      <c r="AB8" s="2">
        <v>1.527</v>
      </c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</row>
    <row r="9" ht="13.9" spans="1:115">
      <c r="A9" s="2">
        <v>396</v>
      </c>
      <c r="B9" s="2">
        <v>5</v>
      </c>
      <c r="C9" s="2"/>
      <c r="D9" s="2">
        <v>2018</v>
      </c>
      <c r="E9" s="2"/>
      <c r="F9" s="2" t="s">
        <v>57</v>
      </c>
      <c r="G9" s="2" t="s">
        <v>69</v>
      </c>
      <c r="H9" s="2" t="s">
        <v>70</v>
      </c>
      <c r="I9" s="2" t="s">
        <v>28</v>
      </c>
      <c r="J9" s="2" t="s">
        <v>29</v>
      </c>
      <c r="K9" s="2" t="s">
        <v>50</v>
      </c>
      <c r="L9" s="2" t="s">
        <v>60</v>
      </c>
      <c r="M9" s="2">
        <v>1</v>
      </c>
      <c r="N9" s="2" t="s">
        <v>31</v>
      </c>
      <c r="O9" s="2"/>
      <c r="P9" s="2" t="s">
        <v>61</v>
      </c>
      <c r="Q9" s="2" t="s">
        <v>62</v>
      </c>
      <c r="R9" s="2" t="s">
        <v>33</v>
      </c>
      <c r="S9" s="2"/>
      <c r="T9" s="2" t="s">
        <v>63</v>
      </c>
      <c r="U9" s="2">
        <v>3.5</v>
      </c>
      <c r="V9" s="2" t="s">
        <v>35</v>
      </c>
      <c r="W9" s="2" t="s">
        <v>64</v>
      </c>
      <c r="X9" s="2" t="s">
        <v>37</v>
      </c>
      <c r="Y9" s="2" t="s">
        <v>38</v>
      </c>
      <c r="Z9" s="2">
        <v>1.113</v>
      </c>
      <c r="AA9" s="2">
        <v>0.874</v>
      </c>
      <c r="AB9" s="2">
        <v>1.419</v>
      </c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</row>
    <row r="10" ht="13.9" spans="1:115">
      <c r="A10" s="2">
        <v>396</v>
      </c>
      <c r="B10" s="2">
        <v>6</v>
      </c>
      <c r="C10" s="2"/>
      <c r="D10" s="2">
        <v>2018</v>
      </c>
      <c r="E10" s="2"/>
      <c r="F10" s="2" t="s">
        <v>65</v>
      </c>
      <c r="G10" s="2" t="s">
        <v>69</v>
      </c>
      <c r="H10" s="2" t="s">
        <v>70</v>
      </c>
      <c r="I10" s="2" t="s">
        <v>28</v>
      </c>
      <c r="J10" s="2" t="s">
        <v>29</v>
      </c>
      <c r="K10" s="2" t="s">
        <v>50</v>
      </c>
      <c r="L10" s="2" t="s">
        <v>66</v>
      </c>
      <c r="M10" s="2">
        <v>0</v>
      </c>
      <c r="N10" s="2" t="s">
        <v>31</v>
      </c>
      <c r="O10" s="2"/>
      <c r="P10" s="2" t="s">
        <v>61</v>
      </c>
      <c r="Q10" s="2" t="s">
        <v>62</v>
      </c>
      <c r="R10" s="2" t="s">
        <v>33</v>
      </c>
      <c r="S10" s="2"/>
      <c r="T10" s="2" t="s">
        <v>63</v>
      </c>
      <c r="U10" s="2">
        <v>3.5</v>
      </c>
      <c r="V10" s="2" t="s">
        <v>35</v>
      </c>
      <c r="W10" s="2" t="s">
        <v>64</v>
      </c>
      <c r="X10" s="2" t="s">
        <v>37</v>
      </c>
      <c r="Y10" s="2" t="s">
        <v>38</v>
      </c>
      <c r="Z10" s="2">
        <v>1.276</v>
      </c>
      <c r="AA10" s="2">
        <v>1.104</v>
      </c>
      <c r="AB10" s="2">
        <v>1.475</v>
      </c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</row>
    <row r="11" ht="13.9" spans="1:115">
      <c r="A11" s="2">
        <v>396</v>
      </c>
      <c r="B11" s="2">
        <v>7</v>
      </c>
      <c r="C11" s="2"/>
      <c r="D11" s="2">
        <v>2018</v>
      </c>
      <c r="E11" s="2"/>
      <c r="F11" s="2" t="s">
        <v>57</v>
      </c>
      <c r="G11" s="2" t="s">
        <v>71</v>
      </c>
      <c r="H11" s="2" t="s">
        <v>72</v>
      </c>
      <c r="I11" s="2" t="s">
        <v>28</v>
      </c>
      <c r="J11" s="2" t="s">
        <v>40</v>
      </c>
      <c r="K11" s="2" t="s">
        <v>50</v>
      </c>
      <c r="L11" s="2" t="s">
        <v>60</v>
      </c>
      <c r="M11" s="2">
        <v>1</v>
      </c>
      <c r="N11" s="2" t="s">
        <v>31</v>
      </c>
      <c r="O11" s="2"/>
      <c r="P11" s="2" t="s">
        <v>61</v>
      </c>
      <c r="Q11" s="2" t="s">
        <v>62</v>
      </c>
      <c r="R11" s="2" t="s">
        <v>33</v>
      </c>
      <c r="S11" s="2"/>
      <c r="T11" s="2" t="s">
        <v>63</v>
      </c>
      <c r="U11" s="2">
        <v>3.5</v>
      </c>
      <c r="V11" s="2" t="s">
        <v>35</v>
      </c>
      <c r="W11" s="2" t="s">
        <v>64</v>
      </c>
      <c r="X11" s="2" t="s">
        <v>37</v>
      </c>
      <c r="Y11" s="2" t="s">
        <v>38</v>
      </c>
      <c r="Z11" s="2">
        <v>1.024</v>
      </c>
      <c r="AA11" s="2">
        <v>0.806</v>
      </c>
      <c r="AB11" s="2">
        <v>1.301</v>
      </c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</row>
    <row r="12" ht="13.9" spans="1:115">
      <c r="A12" s="2">
        <v>396</v>
      </c>
      <c r="B12" s="2">
        <v>8</v>
      </c>
      <c r="C12" s="2"/>
      <c r="D12" s="2">
        <v>2018</v>
      </c>
      <c r="E12" s="2"/>
      <c r="F12" s="2" t="s">
        <v>65</v>
      </c>
      <c r="G12" s="2" t="s">
        <v>71</v>
      </c>
      <c r="H12" s="2" t="s">
        <v>72</v>
      </c>
      <c r="I12" s="2" t="s">
        <v>28</v>
      </c>
      <c r="J12" s="2" t="s">
        <v>40</v>
      </c>
      <c r="K12" s="2" t="s">
        <v>50</v>
      </c>
      <c r="L12" s="2" t="s">
        <v>66</v>
      </c>
      <c r="M12" s="2">
        <v>0</v>
      </c>
      <c r="N12" s="2" t="s">
        <v>31</v>
      </c>
      <c r="O12" s="2"/>
      <c r="P12" s="2" t="s">
        <v>61</v>
      </c>
      <c r="Q12" s="2" t="s">
        <v>62</v>
      </c>
      <c r="R12" s="2" t="s">
        <v>33</v>
      </c>
      <c r="S12" s="2"/>
      <c r="T12" s="2" t="s">
        <v>63</v>
      </c>
      <c r="U12" s="2">
        <v>3.5</v>
      </c>
      <c r="V12" s="2" t="s">
        <v>35</v>
      </c>
      <c r="W12" s="2" t="s">
        <v>64</v>
      </c>
      <c r="X12" s="2" t="s">
        <v>37</v>
      </c>
      <c r="Y12" s="2" t="s">
        <v>38</v>
      </c>
      <c r="Z12" s="2">
        <v>1.294</v>
      </c>
      <c r="AA12" s="2">
        <v>1.103</v>
      </c>
      <c r="AB12" s="2">
        <v>1.52</v>
      </c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</row>
    <row r="13" ht="13.9" spans="1:115">
      <c r="A13" s="2">
        <v>396</v>
      </c>
      <c r="B13" s="2">
        <v>9</v>
      </c>
      <c r="C13" s="2"/>
      <c r="D13" s="2">
        <v>2018</v>
      </c>
      <c r="E13" s="2"/>
      <c r="F13" s="2" t="s">
        <v>57</v>
      </c>
      <c r="G13" s="2" t="s">
        <v>73</v>
      </c>
      <c r="H13" s="2" t="s">
        <v>74</v>
      </c>
      <c r="I13" s="2" t="s">
        <v>28</v>
      </c>
      <c r="J13" s="2" t="s">
        <v>29</v>
      </c>
      <c r="K13" s="2" t="s">
        <v>50</v>
      </c>
      <c r="L13" s="2" t="s">
        <v>60</v>
      </c>
      <c r="M13" s="2">
        <v>1</v>
      </c>
      <c r="N13" s="2" t="s">
        <v>31</v>
      </c>
      <c r="O13" s="2"/>
      <c r="P13" s="2" t="s">
        <v>61</v>
      </c>
      <c r="Q13" s="2" t="s">
        <v>62</v>
      </c>
      <c r="R13" s="2" t="s">
        <v>33</v>
      </c>
      <c r="S13" s="2"/>
      <c r="T13" s="2" t="s">
        <v>63</v>
      </c>
      <c r="U13" s="2">
        <v>3.5</v>
      </c>
      <c r="V13" s="2" t="s">
        <v>35</v>
      </c>
      <c r="W13" s="2" t="s">
        <v>64</v>
      </c>
      <c r="X13" s="2" t="s">
        <v>37</v>
      </c>
      <c r="Y13" s="2" t="s">
        <v>38</v>
      </c>
      <c r="Z13" s="2">
        <v>1.014</v>
      </c>
      <c r="AA13" s="2">
        <v>0.789</v>
      </c>
      <c r="AB13" s="2">
        <v>1.303</v>
      </c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</row>
    <row r="14" ht="13.9" spans="1:115">
      <c r="A14" s="2">
        <v>396</v>
      </c>
      <c r="B14" s="2">
        <v>10</v>
      </c>
      <c r="C14" s="2"/>
      <c r="D14" s="2">
        <v>2018</v>
      </c>
      <c r="E14" s="2"/>
      <c r="F14" s="2" t="s">
        <v>65</v>
      </c>
      <c r="G14" s="2" t="s">
        <v>73</v>
      </c>
      <c r="H14" s="2" t="s">
        <v>74</v>
      </c>
      <c r="I14" s="2" t="s">
        <v>28</v>
      </c>
      <c r="J14" s="2" t="s">
        <v>29</v>
      </c>
      <c r="K14" s="2" t="s">
        <v>50</v>
      </c>
      <c r="L14" s="2" t="s">
        <v>66</v>
      </c>
      <c r="M14" s="2">
        <v>0</v>
      </c>
      <c r="N14" s="2" t="s">
        <v>31</v>
      </c>
      <c r="O14" s="2"/>
      <c r="P14" s="2" t="s">
        <v>61</v>
      </c>
      <c r="Q14" s="2" t="s">
        <v>62</v>
      </c>
      <c r="R14" s="2" t="s">
        <v>33</v>
      </c>
      <c r="S14" s="2"/>
      <c r="T14" s="2" t="s">
        <v>63</v>
      </c>
      <c r="U14" s="2">
        <v>3.5</v>
      </c>
      <c r="V14" s="2" t="s">
        <v>35</v>
      </c>
      <c r="W14" s="2" t="s">
        <v>64</v>
      </c>
      <c r="X14" s="2" t="s">
        <v>37</v>
      </c>
      <c r="Y14" s="2" t="s">
        <v>38</v>
      </c>
      <c r="Z14" s="2">
        <v>1.297</v>
      </c>
      <c r="AA14" s="2">
        <v>1.121</v>
      </c>
      <c r="AB14" s="2">
        <v>1.499</v>
      </c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</row>
    <row r="15" ht="13.9" spans="1:115">
      <c r="A15" s="2">
        <v>396</v>
      </c>
      <c r="B15" s="2">
        <v>11</v>
      </c>
      <c r="C15" s="2"/>
      <c r="D15" s="2">
        <v>2018</v>
      </c>
      <c r="E15" s="2"/>
      <c r="F15" s="2" t="s">
        <v>57</v>
      </c>
      <c r="G15" s="2" t="s">
        <v>75</v>
      </c>
      <c r="H15" s="2" t="s">
        <v>76</v>
      </c>
      <c r="I15" s="2" t="s">
        <v>28</v>
      </c>
      <c r="J15" s="2" t="s">
        <v>40</v>
      </c>
      <c r="K15" s="2" t="s">
        <v>50</v>
      </c>
      <c r="L15" s="2" t="s">
        <v>60</v>
      </c>
      <c r="M15" s="2">
        <v>1</v>
      </c>
      <c r="N15" s="2" t="s">
        <v>31</v>
      </c>
      <c r="O15" s="2"/>
      <c r="P15" s="2" t="s">
        <v>61</v>
      </c>
      <c r="Q15" s="2" t="s">
        <v>62</v>
      </c>
      <c r="R15" s="2" t="s">
        <v>33</v>
      </c>
      <c r="S15" s="2"/>
      <c r="T15" s="2" t="s">
        <v>63</v>
      </c>
      <c r="U15" s="2">
        <v>3.5</v>
      </c>
      <c r="V15" s="2" t="s">
        <v>35</v>
      </c>
      <c r="W15" s="2" t="s">
        <v>64</v>
      </c>
      <c r="X15" s="2" t="s">
        <v>37</v>
      </c>
      <c r="Y15" s="2" t="s">
        <v>38</v>
      </c>
      <c r="Z15" s="2">
        <v>1.063</v>
      </c>
      <c r="AA15" s="2">
        <v>0.834</v>
      </c>
      <c r="AB15" s="2">
        <v>1.354</v>
      </c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</row>
    <row r="16" ht="13.9" spans="1:115">
      <c r="A16" s="2">
        <v>396</v>
      </c>
      <c r="B16" s="2">
        <v>12</v>
      </c>
      <c r="C16" s="2"/>
      <c r="D16" s="2">
        <v>2018</v>
      </c>
      <c r="E16" s="2"/>
      <c r="F16" s="2" t="s">
        <v>65</v>
      </c>
      <c r="G16" s="2" t="s">
        <v>75</v>
      </c>
      <c r="H16" s="2" t="s">
        <v>76</v>
      </c>
      <c r="I16" s="2" t="s">
        <v>28</v>
      </c>
      <c r="J16" s="2" t="s">
        <v>40</v>
      </c>
      <c r="K16" s="2" t="s">
        <v>50</v>
      </c>
      <c r="L16" s="2" t="s">
        <v>66</v>
      </c>
      <c r="M16" s="2">
        <v>0</v>
      </c>
      <c r="N16" s="2" t="s">
        <v>31</v>
      </c>
      <c r="O16" s="2"/>
      <c r="P16" s="2" t="s">
        <v>61</v>
      </c>
      <c r="Q16" s="2" t="s">
        <v>62</v>
      </c>
      <c r="R16" s="2" t="s">
        <v>33</v>
      </c>
      <c r="S16" s="2"/>
      <c r="T16" s="2" t="s">
        <v>63</v>
      </c>
      <c r="U16" s="2">
        <v>3.5</v>
      </c>
      <c r="V16" s="2" t="s">
        <v>35</v>
      </c>
      <c r="W16" s="2" t="s">
        <v>64</v>
      </c>
      <c r="X16" s="2" t="s">
        <v>37</v>
      </c>
      <c r="Y16" s="2" t="s">
        <v>38</v>
      </c>
      <c r="Z16" s="2">
        <v>1.339</v>
      </c>
      <c r="AA16" s="2">
        <v>1.122</v>
      </c>
      <c r="AB16" s="2">
        <v>1.597</v>
      </c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</row>
    <row r="17" ht="13.9" spans="1:115">
      <c r="A17" s="2">
        <v>396</v>
      </c>
      <c r="B17" s="2">
        <v>13</v>
      </c>
      <c r="C17" s="2"/>
      <c r="D17" s="2">
        <v>2018</v>
      </c>
      <c r="E17" s="2"/>
      <c r="F17" s="2" t="s">
        <v>57</v>
      </c>
      <c r="G17" s="2" t="s">
        <v>77</v>
      </c>
      <c r="H17" s="2" t="s">
        <v>78</v>
      </c>
      <c r="I17" s="2" t="s">
        <v>28</v>
      </c>
      <c r="J17" s="2" t="s">
        <v>29</v>
      </c>
      <c r="K17" s="2" t="s">
        <v>50</v>
      </c>
      <c r="L17" s="2" t="s">
        <v>60</v>
      </c>
      <c r="M17" s="2">
        <v>1</v>
      </c>
      <c r="N17" s="2" t="s">
        <v>31</v>
      </c>
      <c r="O17" s="2"/>
      <c r="P17" s="2" t="s">
        <v>61</v>
      </c>
      <c r="Q17" s="2" t="s">
        <v>62</v>
      </c>
      <c r="R17" s="2" t="s">
        <v>33</v>
      </c>
      <c r="S17" s="2"/>
      <c r="T17" s="2" t="s">
        <v>63</v>
      </c>
      <c r="U17" s="2">
        <v>3.5</v>
      </c>
      <c r="V17" s="2" t="s">
        <v>35</v>
      </c>
      <c r="W17" s="2" t="s">
        <v>64</v>
      </c>
      <c r="X17" s="2" t="s">
        <v>37</v>
      </c>
      <c r="Y17" s="2" t="s">
        <v>38</v>
      </c>
      <c r="Z17" s="2">
        <v>1.105</v>
      </c>
      <c r="AA17" s="2">
        <v>0.885</v>
      </c>
      <c r="AB17" s="2">
        <v>1.381</v>
      </c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</row>
    <row r="18" ht="13.9" spans="1:115">
      <c r="A18" s="2">
        <v>396</v>
      </c>
      <c r="B18" s="2">
        <v>14</v>
      </c>
      <c r="C18" s="2"/>
      <c r="D18" s="2">
        <v>2018</v>
      </c>
      <c r="E18" s="2"/>
      <c r="F18" s="2" t="s">
        <v>65</v>
      </c>
      <c r="G18" s="2" t="s">
        <v>77</v>
      </c>
      <c r="H18" s="2" t="s">
        <v>78</v>
      </c>
      <c r="I18" s="2" t="s">
        <v>28</v>
      </c>
      <c r="J18" s="2" t="s">
        <v>29</v>
      </c>
      <c r="K18" s="2" t="s">
        <v>50</v>
      </c>
      <c r="L18" s="2" t="s">
        <v>66</v>
      </c>
      <c r="M18" s="2">
        <v>0</v>
      </c>
      <c r="N18" s="2" t="s">
        <v>31</v>
      </c>
      <c r="O18" s="2"/>
      <c r="P18" s="2" t="s">
        <v>61</v>
      </c>
      <c r="Q18" s="2" t="s">
        <v>62</v>
      </c>
      <c r="R18" s="2" t="s">
        <v>33</v>
      </c>
      <c r="S18" s="2"/>
      <c r="T18" s="2" t="s">
        <v>63</v>
      </c>
      <c r="U18" s="2">
        <v>3.5</v>
      </c>
      <c r="V18" s="2" t="s">
        <v>35</v>
      </c>
      <c r="W18" s="2" t="s">
        <v>64</v>
      </c>
      <c r="X18" s="2" t="s">
        <v>37</v>
      </c>
      <c r="Y18" s="2" t="s">
        <v>38</v>
      </c>
      <c r="Z18" s="2">
        <v>1.241</v>
      </c>
      <c r="AA18" s="2">
        <v>1.086</v>
      </c>
      <c r="AB18" s="2">
        <v>1.417</v>
      </c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</row>
    <row r="19" ht="13.9" spans="1:115">
      <c r="A19" s="2">
        <v>396</v>
      </c>
      <c r="B19" s="2">
        <v>15</v>
      </c>
      <c r="C19" s="2"/>
      <c r="D19" s="2">
        <v>2018</v>
      </c>
      <c r="E19" s="2"/>
      <c r="F19" s="2" t="s">
        <v>57</v>
      </c>
      <c r="G19" s="2" t="s">
        <v>79</v>
      </c>
      <c r="H19" s="2" t="s">
        <v>80</v>
      </c>
      <c r="I19" s="2" t="s">
        <v>28</v>
      </c>
      <c r="J19" s="2" t="s">
        <v>40</v>
      </c>
      <c r="K19" s="2" t="s">
        <v>50</v>
      </c>
      <c r="L19" s="2" t="s">
        <v>60</v>
      </c>
      <c r="M19" s="2">
        <v>1</v>
      </c>
      <c r="N19" s="2" t="s">
        <v>31</v>
      </c>
      <c r="O19" s="2"/>
      <c r="P19" s="2" t="s">
        <v>61</v>
      </c>
      <c r="Q19" s="2" t="s">
        <v>62</v>
      </c>
      <c r="R19" s="2" t="s">
        <v>33</v>
      </c>
      <c r="S19" s="2"/>
      <c r="T19" s="2" t="s">
        <v>63</v>
      </c>
      <c r="U19" s="2">
        <v>3.5</v>
      </c>
      <c r="V19" s="2" t="s">
        <v>35</v>
      </c>
      <c r="W19" s="2" t="s">
        <v>64</v>
      </c>
      <c r="X19" s="2" t="s">
        <v>37</v>
      </c>
      <c r="Y19" s="2" t="s">
        <v>38</v>
      </c>
      <c r="Z19" s="2">
        <v>1.192</v>
      </c>
      <c r="AA19" s="2">
        <v>0.971</v>
      </c>
      <c r="AB19" s="2">
        <v>1.464</v>
      </c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</row>
    <row r="20" ht="13.9" spans="1:115">
      <c r="A20" s="2">
        <v>396</v>
      </c>
      <c r="B20" s="2">
        <v>16</v>
      </c>
      <c r="C20" s="2"/>
      <c r="D20" s="2">
        <v>2018</v>
      </c>
      <c r="E20" s="2"/>
      <c r="F20" s="2" t="s">
        <v>65</v>
      </c>
      <c r="G20" s="2" t="s">
        <v>79</v>
      </c>
      <c r="H20" s="2" t="s">
        <v>80</v>
      </c>
      <c r="I20" s="2" t="s">
        <v>28</v>
      </c>
      <c r="J20" s="2" t="s">
        <v>40</v>
      </c>
      <c r="K20" s="2" t="s">
        <v>50</v>
      </c>
      <c r="L20" s="2" t="s">
        <v>66</v>
      </c>
      <c r="M20" s="2">
        <v>0</v>
      </c>
      <c r="N20" s="2" t="s">
        <v>31</v>
      </c>
      <c r="O20" s="2"/>
      <c r="P20" s="2" t="s">
        <v>61</v>
      </c>
      <c r="Q20" s="2" t="s">
        <v>62</v>
      </c>
      <c r="R20" s="2" t="s">
        <v>33</v>
      </c>
      <c r="S20" s="2"/>
      <c r="T20" s="2" t="s">
        <v>63</v>
      </c>
      <c r="U20" s="2">
        <v>3.5</v>
      </c>
      <c r="V20" s="2" t="s">
        <v>35</v>
      </c>
      <c r="W20" s="2" t="s">
        <v>64</v>
      </c>
      <c r="X20" s="2" t="s">
        <v>37</v>
      </c>
      <c r="Y20" s="2" t="s">
        <v>38</v>
      </c>
      <c r="Z20" s="2">
        <v>1.278</v>
      </c>
      <c r="AA20" s="2">
        <v>1.092</v>
      </c>
      <c r="AB20" s="2">
        <v>1.496</v>
      </c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</row>
    <row r="21" ht="13.9" spans="1:115">
      <c r="A21" s="2">
        <v>396</v>
      </c>
      <c r="B21" s="2">
        <v>17</v>
      </c>
      <c r="C21" s="2"/>
      <c r="D21" s="2">
        <v>2018</v>
      </c>
      <c r="E21" s="2"/>
      <c r="F21" s="2" t="s">
        <v>57</v>
      </c>
      <c r="G21" s="2" t="s">
        <v>81</v>
      </c>
      <c r="H21" s="2" t="s">
        <v>82</v>
      </c>
      <c r="I21" s="2" t="s">
        <v>28</v>
      </c>
      <c r="J21" s="2" t="s">
        <v>40</v>
      </c>
      <c r="K21" s="2" t="s">
        <v>50</v>
      </c>
      <c r="L21" s="2" t="s">
        <v>60</v>
      </c>
      <c r="M21" s="2">
        <v>1</v>
      </c>
      <c r="N21" s="2" t="s">
        <v>31</v>
      </c>
      <c r="O21" s="2"/>
      <c r="P21" s="2" t="s">
        <v>61</v>
      </c>
      <c r="Q21" s="2" t="s">
        <v>62</v>
      </c>
      <c r="R21" s="2" t="s">
        <v>33</v>
      </c>
      <c r="S21" s="2"/>
      <c r="T21" s="2" t="s">
        <v>63</v>
      </c>
      <c r="U21" s="2">
        <v>3.5</v>
      </c>
      <c r="V21" s="2" t="s">
        <v>35</v>
      </c>
      <c r="W21" s="2" t="s">
        <v>64</v>
      </c>
      <c r="X21" s="2" t="s">
        <v>37</v>
      </c>
      <c r="Y21" s="2" t="s">
        <v>38</v>
      </c>
      <c r="Z21" s="2">
        <v>0.989</v>
      </c>
      <c r="AA21" s="2">
        <v>0.746</v>
      </c>
      <c r="AB21" s="2">
        <v>1.311</v>
      </c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</row>
    <row r="22" ht="13.9" spans="1:115">
      <c r="A22" s="2">
        <v>396</v>
      </c>
      <c r="B22" s="2">
        <v>18</v>
      </c>
      <c r="C22" s="2"/>
      <c r="D22" s="2">
        <v>2018</v>
      </c>
      <c r="E22" s="2"/>
      <c r="F22" s="2" t="s">
        <v>65</v>
      </c>
      <c r="G22" s="2" t="s">
        <v>81</v>
      </c>
      <c r="H22" s="2" t="s">
        <v>82</v>
      </c>
      <c r="I22" s="2" t="s">
        <v>28</v>
      </c>
      <c r="J22" s="2" t="s">
        <v>40</v>
      </c>
      <c r="K22" s="2" t="s">
        <v>50</v>
      </c>
      <c r="L22" s="2" t="s">
        <v>66</v>
      </c>
      <c r="M22" s="2">
        <v>0</v>
      </c>
      <c r="N22" s="2" t="s">
        <v>31</v>
      </c>
      <c r="O22" s="2"/>
      <c r="P22" s="2" t="s">
        <v>61</v>
      </c>
      <c r="Q22" s="2" t="s">
        <v>62</v>
      </c>
      <c r="R22" s="2" t="s">
        <v>33</v>
      </c>
      <c r="S22" s="2"/>
      <c r="T22" s="2" t="s">
        <v>63</v>
      </c>
      <c r="U22" s="2">
        <v>3.5</v>
      </c>
      <c r="V22" s="2" t="s">
        <v>35</v>
      </c>
      <c r="W22" s="2" t="s">
        <v>64</v>
      </c>
      <c r="X22" s="2" t="s">
        <v>37</v>
      </c>
      <c r="Y22" s="2" t="s">
        <v>38</v>
      </c>
      <c r="Z22" s="2">
        <v>1.486</v>
      </c>
      <c r="AA22" s="2">
        <v>1.18</v>
      </c>
      <c r="AB22" s="2">
        <v>1.871</v>
      </c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</row>
    <row r="23" ht="13.9" spans="1:115">
      <c r="A23" s="2">
        <v>396</v>
      </c>
      <c r="B23" s="2">
        <v>19</v>
      </c>
      <c r="C23" s="2"/>
      <c r="D23" s="2">
        <v>2018</v>
      </c>
      <c r="E23" s="2"/>
      <c r="F23" s="2" t="s">
        <v>57</v>
      </c>
      <c r="G23" s="2" t="s">
        <v>83</v>
      </c>
      <c r="H23" s="2" t="s">
        <v>84</v>
      </c>
      <c r="I23" s="2" t="s">
        <v>28</v>
      </c>
      <c r="J23" s="2" t="s">
        <v>40</v>
      </c>
      <c r="K23" s="2" t="s">
        <v>50</v>
      </c>
      <c r="L23" s="2" t="s">
        <v>60</v>
      </c>
      <c r="M23" s="2">
        <v>1</v>
      </c>
      <c r="N23" s="2" t="s">
        <v>31</v>
      </c>
      <c r="O23" s="2"/>
      <c r="P23" s="2" t="s">
        <v>61</v>
      </c>
      <c r="Q23" s="2" t="s">
        <v>62</v>
      </c>
      <c r="R23" s="2" t="s">
        <v>33</v>
      </c>
      <c r="S23" s="2"/>
      <c r="T23" s="2" t="s">
        <v>63</v>
      </c>
      <c r="U23" s="2">
        <v>3.5</v>
      </c>
      <c r="V23" s="2" t="s">
        <v>35</v>
      </c>
      <c r="W23" s="2" t="s">
        <v>64</v>
      </c>
      <c r="X23" s="2" t="s">
        <v>37</v>
      </c>
      <c r="Y23" s="2" t="s">
        <v>38</v>
      </c>
      <c r="Z23" s="2">
        <v>1.174</v>
      </c>
      <c r="AA23" s="2">
        <v>0.87</v>
      </c>
      <c r="AB23" s="2">
        <v>1.583</v>
      </c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</row>
    <row r="24" ht="13.9" spans="1:115">
      <c r="A24" s="2">
        <v>396</v>
      </c>
      <c r="B24" s="2">
        <v>20</v>
      </c>
      <c r="C24" s="2"/>
      <c r="D24" s="2">
        <v>2018</v>
      </c>
      <c r="E24" s="2"/>
      <c r="F24" s="2" t="s">
        <v>65</v>
      </c>
      <c r="G24" s="2" t="s">
        <v>83</v>
      </c>
      <c r="H24" s="2" t="s">
        <v>84</v>
      </c>
      <c r="I24" s="2" t="s">
        <v>28</v>
      </c>
      <c r="J24" s="2" t="s">
        <v>40</v>
      </c>
      <c r="K24" s="2" t="s">
        <v>50</v>
      </c>
      <c r="L24" s="2" t="s">
        <v>66</v>
      </c>
      <c r="M24" s="2">
        <v>0</v>
      </c>
      <c r="N24" s="2" t="s">
        <v>31</v>
      </c>
      <c r="O24" s="2"/>
      <c r="P24" s="2" t="s">
        <v>61</v>
      </c>
      <c r="Q24" s="2" t="s">
        <v>62</v>
      </c>
      <c r="R24" s="2" t="s">
        <v>33</v>
      </c>
      <c r="S24" s="2"/>
      <c r="T24" s="2" t="s">
        <v>63</v>
      </c>
      <c r="U24" s="2">
        <v>3.5</v>
      </c>
      <c r="V24" s="2" t="s">
        <v>35</v>
      </c>
      <c r="W24" s="2" t="s">
        <v>64</v>
      </c>
      <c r="X24" s="2" t="s">
        <v>37</v>
      </c>
      <c r="Y24" s="2" t="s">
        <v>38</v>
      </c>
      <c r="Z24" s="2">
        <v>1.484</v>
      </c>
      <c r="AA24" s="2">
        <v>1.168</v>
      </c>
      <c r="AB24" s="2">
        <v>1.885</v>
      </c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</row>
    <row r="25" ht="13.9" spans="1:115">
      <c r="A25" s="2">
        <v>396</v>
      </c>
      <c r="B25" s="2">
        <v>21</v>
      </c>
      <c r="C25" s="2"/>
      <c r="D25" s="2">
        <v>2018</v>
      </c>
      <c r="E25" s="2"/>
      <c r="F25" s="2" t="s">
        <v>57</v>
      </c>
      <c r="G25" s="2" t="s">
        <v>85</v>
      </c>
      <c r="H25" s="2" t="s">
        <v>86</v>
      </c>
      <c r="I25" s="2" t="s">
        <v>28</v>
      </c>
      <c r="J25" s="2" t="s">
        <v>40</v>
      </c>
      <c r="K25" s="2" t="s">
        <v>50</v>
      </c>
      <c r="L25" s="2" t="s">
        <v>60</v>
      </c>
      <c r="M25" s="2">
        <v>1</v>
      </c>
      <c r="N25" s="2" t="s">
        <v>31</v>
      </c>
      <c r="O25" s="2"/>
      <c r="P25" s="2" t="s">
        <v>61</v>
      </c>
      <c r="Q25" s="2" t="s">
        <v>62</v>
      </c>
      <c r="R25" s="2" t="s">
        <v>33</v>
      </c>
      <c r="S25" s="2"/>
      <c r="T25" s="2" t="s">
        <v>63</v>
      </c>
      <c r="U25" s="2">
        <v>3.5</v>
      </c>
      <c r="V25" s="2" t="s">
        <v>35</v>
      </c>
      <c r="W25" s="2" t="s">
        <v>64</v>
      </c>
      <c r="X25" s="2" t="s">
        <v>37</v>
      </c>
      <c r="Y25" s="2" t="s">
        <v>38</v>
      </c>
      <c r="Z25" s="2">
        <v>1.053</v>
      </c>
      <c r="AA25" s="2">
        <v>0.826</v>
      </c>
      <c r="AB25" s="2">
        <v>1.341</v>
      </c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</row>
    <row r="26" ht="13.9" spans="1:115">
      <c r="A26" s="2">
        <v>396</v>
      </c>
      <c r="B26" s="2">
        <v>22</v>
      </c>
      <c r="C26" s="2"/>
      <c r="D26" s="2">
        <v>2018</v>
      </c>
      <c r="E26" s="2"/>
      <c r="F26" s="2" t="s">
        <v>65</v>
      </c>
      <c r="G26" s="2" t="s">
        <v>85</v>
      </c>
      <c r="H26" s="2" t="s">
        <v>86</v>
      </c>
      <c r="I26" s="2" t="s">
        <v>28</v>
      </c>
      <c r="J26" s="2" t="s">
        <v>40</v>
      </c>
      <c r="K26" s="2" t="s">
        <v>50</v>
      </c>
      <c r="L26" s="2" t="s">
        <v>66</v>
      </c>
      <c r="M26" s="2">
        <v>0</v>
      </c>
      <c r="N26" s="2" t="s">
        <v>31</v>
      </c>
      <c r="O26" s="2"/>
      <c r="P26" s="2" t="s">
        <v>61</v>
      </c>
      <c r="Q26" s="2" t="s">
        <v>62</v>
      </c>
      <c r="R26" s="2" t="s">
        <v>33</v>
      </c>
      <c r="S26" s="2"/>
      <c r="T26" s="2" t="s">
        <v>63</v>
      </c>
      <c r="U26" s="2">
        <v>3.5</v>
      </c>
      <c r="V26" s="2" t="s">
        <v>35</v>
      </c>
      <c r="W26" s="2" t="s">
        <v>64</v>
      </c>
      <c r="X26" s="2" t="s">
        <v>37</v>
      </c>
      <c r="Y26" s="2" t="s">
        <v>38</v>
      </c>
      <c r="Z26" s="2">
        <v>1.35</v>
      </c>
      <c r="AA26" s="2">
        <v>1.142</v>
      </c>
      <c r="AB26" s="2">
        <v>1.595</v>
      </c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</row>
    <row r="27" ht="13.9" spans="1:115">
      <c r="A27" s="2">
        <v>396</v>
      </c>
      <c r="B27" s="2">
        <v>23</v>
      </c>
      <c r="C27" s="2"/>
      <c r="D27" s="2">
        <v>2018</v>
      </c>
      <c r="E27" s="2"/>
      <c r="F27" s="2" t="s">
        <v>57</v>
      </c>
      <c r="G27" s="2" t="s">
        <v>87</v>
      </c>
      <c r="H27" s="2" t="s">
        <v>88</v>
      </c>
      <c r="I27" s="2" t="s">
        <v>28</v>
      </c>
      <c r="J27" s="2" t="s">
        <v>29</v>
      </c>
      <c r="K27" s="2" t="s">
        <v>50</v>
      </c>
      <c r="L27" s="2" t="s">
        <v>60</v>
      </c>
      <c r="M27" s="2">
        <v>1</v>
      </c>
      <c r="N27" s="2" t="s">
        <v>31</v>
      </c>
      <c r="O27" s="2"/>
      <c r="P27" s="2" t="s">
        <v>61</v>
      </c>
      <c r="Q27" s="2" t="s">
        <v>62</v>
      </c>
      <c r="R27" s="2" t="s">
        <v>33</v>
      </c>
      <c r="S27" s="2"/>
      <c r="T27" s="2" t="s">
        <v>63</v>
      </c>
      <c r="U27" s="2">
        <v>3.5</v>
      </c>
      <c r="V27" s="2" t="s">
        <v>35</v>
      </c>
      <c r="W27" s="2" t="s">
        <v>64</v>
      </c>
      <c r="X27" s="2" t="s">
        <v>37</v>
      </c>
      <c r="Y27" s="2" t="s">
        <v>38</v>
      </c>
      <c r="Z27" s="2">
        <v>0.976</v>
      </c>
      <c r="AA27" s="2">
        <v>0.764</v>
      </c>
      <c r="AB27" s="2">
        <v>1.247</v>
      </c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</row>
    <row r="28" ht="13.9" spans="1:115">
      <c r="A28" s="2">
        <v>396</v>
      </c>
      <c r="B28" s="2">
        <v>24</v>
      </c>
      <c r="C28" s="2"/>
      <c r="D28" s="2">
        <v>2018</v>
      </c>
      <c r="E28" s="2"/>
      <c r="F28" s="2" t="s">
        <v>65</v>
      </c>
      <c r="G28" s="2" t="s">
        <v>87</v>
      </c>
      <c r="H28" s="2" t="s">
        <v>88</v>
      </c>
      <c r="I28" s="2" t="s">
        <v>28</v>
      </c>
      <c r="J28" s="2" t="s">
        <v>29</v>
      </c>
      <c r="K28" s="2" t="s">
        <v>50</v>
      </c>
      <c r="L28" s="2" t="s">
        <v>66</v>
      </c>
      <c r="M28" s="2">
        <v>0</v>
      </c>
      <c r="N28" s="2" t="s">
        <v>31</v>
      </c>
      <c r="O28" s="2"/>
      <c r="P28" s="2" t="s">
        <v>61</v>
      </c>
      <c r="Q28" s="2" t="s">
        <v>62</v>
      </c>
      <c r="R28" s="2" t="s">
        <v>33</v>
      </c>
      <c r="S28" s="2"/>
      <c r="T28" s="2" t="s">
        <v>63</v>
      </c>
      <c r="U28" s="2">
        <v>3.5</v>
      </c>
      <c r="V28" s="2" t="s">
        <v>35</v>
      </c>
      <c r="W28" s="2" t="s">
        <v>64</v>
      </c>
      <c r="X28" s="2" t="s">
        <v>37</v>
      </c>
      <c r="Y28" s="2" t="s">
        <v>38</v>
      </c>
      <c r="Z28" s="2">
        <v>1.353</v>
      </c>
      <c r="AA28" s="2">
        <v>1.137</v>
      </c>
      <c r="AB28" s="2">
        <v>1.609</v>
      </c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</row>
    <row r="29" ht="13.9" spans="1:115">
      <c r="A29" s="2">
        <v>396</v>
      </c>
      <c r="B29" s="2">
        <v>25</v>
      </c>
      <c r="C29" s="2"/>
      <c r="D29" s="2">
        <v>2018</v>
      </c>
      <c r="E29" s="2"/>
      <c r="F29" s="2" t="s">
        <v>57</v>
      </c>
      <c r="G29" s="2" t="s">
        <v>89</v>
      </c>
      <c r="H29" s="2" t="s">
        <v>90</v>
      </c>
      <c r="I29" s="2" t="s">
        <v>28</v>
      </c>
      <c r="J29" s="2" t="s">
        <v>29</v>
      </c>
      <c r="K29" s="2" t="s">
        <v>50</v>
      </c>
      <c r="L29" s="2" t="s">
        <v>60</v>
      </c>
      <c r="M29" s="2">
        <v>1</v>
      </c>
      <c r="N29" s="2" t="s">
        <v>31</v>
      </c>
      <c r="O29" s="2"/>
      <c r="P29" s="2" t="s">
        <v>61</v>
      </c>
      <c r="Q29" s="2" t="s">
        <v>62</v>
      </c>
      <c r="R29" s="2" t="s">
        <v>33</v>
      </c>
      <c r="S29" s="2"/>
      <c r="T29" s="2" t="s">
        <v>63</v>
      </c>
      <c r="U29" s="2">
        <v>3.5</v>
      </c>
      <c r="V29" s="2" t="s">
        <v>35</v>
      </c>
      <c r="W29" s="2" t="s">
        <v>64</v>
      </c>
      <c r="X29" s="2" t="s">
        <v>37</v>
      </c>
      <c r="Y29" s="2" t="s">
        <v>38</v>
      </c>
      <c r="Z29" s="2">
        <v>1.091</v>
      </c>
      <c r="AA29" s="2">
        <v>0.838</v>
      </c>
      <c r="AB29" s="2">
        <v>1.421</v>
      </c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</row>
    <row r="30" ht="13.9" spans="1:115">
      <c r="A30" s="2">
        <v>396</v>
      </c>
      <c r="B30" s="2">
        <v>26</v>
      </c>
      <c r="C30" s="2"/>
      <c r="D30" s="2">
        <v>2018</v>
      </c>
      <c r="E30" s="2"/>
      <c r="F30" s="2" t="s">
        <v>65</v>
      </c>
      <c r="G30" s="2" t="s">
        <v>89</v>
      </c>
      <c r="H30" s="2" t="s">
        <v>90</v>
      </c>
      <c r="I30" s="2" t="s">
        <v>28</v>
      </c>
      <c r="J30" s="2" t="s">
        <v>29</v>
      </c>
      <c r="K30" s="2" t="s">
        <v>50</v>
      </c>
      <c r="L30" s="2" t="s">
        <v>66</v>
      </c>
      <c r="M30" s="2">
        <v>0</v>
      </c>
      <c r="N30" s="2" t="s">
        <v>31</v>
      </c>
      <c r="O30" s="2"/>
      <c r="P30" s="2" t="s">
        <v>61</v>
      </c>
      <c r="Q30" s="2" t="s">
        <v>62</v>
      </c>
      <c r="R30" s="2" t="s">
        <v>33</v>
      </c>
      <c r="S30" s="2"/>
      <c r="T30" s="2" t="s">
        <v>63</v>
      </c>
      <c r="U30" s="2">
        <v>3.5</v>
      </c>
      <c r="V30" s="2" t="s">
        <v>35</v>
      </c>
      <c r="W30" s="2" t="s">
        <v>64</v>
      </c>
      <c r="X30" s="2" t="s">
        <v>37</v>
      </c>
      <c r="Y30" s="2" t="s">
        <v>38</v>
      </c>
      <c r="Z30" s="2">
        <v>1.366</v>
      </c>
      <c r="AA30" s="2">
        <v>1.121</v>
      </c>
      <c r="AB30" s="2">
        <v>1.665</v>
      </c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</row>
    <row r="31" ht="13.9" spans="1:115">
      <c r="A31" s="2">
        <v>396</v>
      </c>
      <c r="B31" s="2">
        <v>27</v>
      </c>
      <c r="C31" s="2"/>
      <c r="D31" s="2">
        <v>2018</v>
      </c>
      <c r="E31" s="2"/>
      <c r="F31" s="2" t="s">
        <v>57</v>
      </c>
      <c r="G31" s="2" t="s">
        <v>91</v>
      </c>
      <c r="H31" s="2" t="s">
        <v>92</v>
      </c>
      <c r="I31" s="2" t="s">
        <v>28</v>
      </c>
      <c r="J31" s="2" t="s">
        <v>29</v>
      </c>
      <c r="K31" s="2" t="s">
        <v>50</v>
      </c>
      <c r="L31" s="2" t="s">
        <v>60</v>
      </c>
      <c r="M31" s="2">
        <v>1</v>
      </c>
      <c r="N31" s="2" t="s">
        <v>31</v>
      </c>
      <c r="O31" s="2"/>
      <c r="P31" s="2" t="s">
        <v>61</v>
      </c>
      <c r="Q31" s="2" t="s">
        <v>62</v>
      </c>
      <c r="R31" s="2" t="s">
        <v>33</v>
      </c>
      <c r="S31" s="2"/>
      <c r="T31" s="2" t="s">
        <v>63</v>
      </c>
      <c r="U31" s="2">
        <v>3.5</v>
      </c>
      <c r="V31" s="2" t="s">
        <v>35</v>
      </c>
      <c r="W31" s="2" t="s">
        <v>64</v>
      </c>
      <c r="X31" s="2" t="s">
        <v>37</v>
      </c>
      <c r="Y31" s="2" t="s">
        <v>38</v>
      </c>
      <c r="Z31" s="2">
        <v>1.077</v>
      </c>
      <c r="AA31" s="2">
        <v>0.846</v>
      </c>
      <c r="AB31" s="2">
        <v>1.371</v>
      </c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</row>
    <row r="32" ht="13.9" spans="1:115">
      <c r="A32" s="2">
        <v>396</v>
      </c>
      <c r="B32" s="2">
        <v>28</v>
      </c>
      <c r="C32" s="2"/>
      <c r="D32" s="2">
        <v>2018</v>
      </c>
      <c r="E32" s="2"/>
      <c r="F32" s="2" t="s">
        <v>65</v>
      </c>
      <c r="G32" s="2" t="s">
        <v>91</v>
      </c>
      <c r="H32" s="2" t="s">
        <v>92</v>
      </c>
      <c r="I32" s="2" t="s">
        <v>28</v>
      </c>
      <c r="J32" s="2" t="s">
        <v>29</v>
      </c>
      <c r="K32" s="2" t="s">
        <v>50</v>
      </c>
      <c r="L32" s="2" t="s">
        <v>66</v>
      </c>
      <c r="M32" s="2">
        <v>0</v>
      </c>
      <c r="N32" s="2" t="s">
        <v>31</v>
      </c>
      <c r="O32" s="2"/>
      <c r="P32" s="2" t="s">
        <v>61</v>
      </c>
      <c r="Q32" s="2" t="s">
        <v>62</v>
      </c>
      <c r="R32" s="2" t="s">
        <v>33</v>
      </c>
      <c r="S32" s="2"/>
      <c r="T32" s="2" t="s">
        <v>63</v>
      </c>
      <c r="U32" s="2">
        <v>3.5</v>
      </c>
      <c r="V32" s="2" t="s">
        <v>35</v>
      </c>
      <c r="W32" s="2" t="s">
        <v>64</v>
      </c>
      <c r="X32" s="2" t="s">
        <v>37</v>
      </c>
      <c r="Y32" s="2" t="s">
        <v>38</v>
      </c>
      <c r="Z32" s="2">
        <v>1.328</v>
      </c>
      <c r="AA32" s="2">
        <v>1.122</v>
      </c>
      <c r="AB32" s="2">
        <v>1.571</v>
      </c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</row>
    <row r="33" ht="13.9" spans="1:115">
      <c r="A33" s="2">
        <v>396</v>
      </c>
      <c r="B33" s="2">
        <v>29</v>
      </c>
      <c r="C33" s="2"/>
      <c r="D33" s="2">
        <v>2018</v>
      </c>
      <c r="E33" s="2"/>
      <c r="F33" s="2" t="s">
        <v>57</v>
      </c>
      <c r="G33" s="2" t="s">
        <v>93</v>
      </c>
      <c r="H33" s="2" t="s">
        <v>94</v>
      </c>
      <c r="I33" s="2" t="s">
        <v>28</v>
      </c>
      <c r="J33" s="2" t="s">
        <v>29</v>
      </c>
      <c r="K33" s="2" t="s">
        <v>50</v>
      </c>
      <c r="L33" s="2" t="s">
        <v>60</v>
      </c>
      <c r="M33" s="2">
        <v>1</v>
      </c>
      <c r="N33" s="2" t="s">
        <v>31</v>
      </c>
      <c r="O33" s="2"/>
      <c r="P33" s="2" t="s">
        <v>61</v>
      </c>
      <c r="Q33" s="2" t="s">
        <v>62</v>
      </c>
      <c r="R33" s="2" t="s">
        <v>33</v>
      </c>
      <c r="S33" s="2"/>
      <c r="T33" s="2" t="s">
        <v>63</v>
      </c>
      <c r="U33" s="2">
        <v>3.5</v>
      </c>
      <c r="V33" s="2" t="s">
        <v>35</v>
      </c>
      <c r="W33" s="2" t="s">
        <v>64</v>
      </c>
      <c r="X33" s="2" t="s">
        <v>37</v>
      </c>
      <c r="Y33" s="2" t="s">
        <v>38</v>
      </c>
      <c r="Z33" s="2">
        <v>1.139</v>
      </c>
      <c r="AA33" s="2">
        <v>0.873</v>
      </c>
      <c r="AB33" s="2">
        <v>1.485</v>
      </c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</row>
    <row r="34" ht="13.9" spans="1:115">
      <c r="A34" s="2">
        <v>396</v>
      </c>
      <c r="B34" s="2">
        <v>30</v>
      </c>
      <c r="C34" s="2"/>
      <c r="D34" s="2">
        <v>2018</v>
      </c>
      <c r="E34" s="2"/>
      <c r="F34" s="2" t="s">
        <v>65</v>
      </c>
      <c r="G34" s="2" t="s">
        <v>93</v>
      </c>
      <c r="H34" s="2" t="s">
        <v>94</v>
      </c>
      <c r="I34" s="2" t="s">
        <v>28</v>
      </c>
      <c r="J34" s="2" t="s">
        <v>29</v>
      </c>
      <c r="K34" s="2" t="s">
        <v>50</v>
      </c>
      <c r="L34" s="2" t="s">
        <v>66</v>
      </c>
      <c r="M34" s="2">
        <v>0</v>
      </c>
      <c r="N34" s="2" t="s">
        <v>31</v>
      </c>
      <c r="O34" s="2"/>
      <c r="P34" s="2" t="s">
        <v>61</v>
      </c>
      <c r="Q34" s="2" t="s">
        <v>62</v>
      </c>
      <c r="R34" s="2" t="s">
        <v>33</v>
      </c>
      <c r="S34" s="2"/>
      <c r="T34" s="2" t="s">
        <v>63</v>
      </c>
      <c r="U34" s="2">
        <v>3.5</v>
      </c>
      <c r="V34" s="2" t="s">
        <v>35</v>
      </c>
      <c r="W34" s="2" t="s">
        <v>64</v>
      </c>
      <c r="X34" s="2" t="s">
        <v>37</v>
      </c>
      <c r="Y34" s="2" t="s">
        <v>38</v>
      </c>
      <c r="Z34" s="2">
        <v>1.385</v>
      </c>
      <c r="AA34" s="2">
        <v>1.13</v>
      </c>
      <c r="AB34" s="2">
        <v>1.696</v>
      </c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</row>
    <row r="35" ht="13.9" spans="1:115">
      <c r="A35" s="2">
        <v>396</v>
      </c>
      <c r="B35" s="2">
        <v>31</v>
      </c>
      <c r="C35" s="2"/>
      <c r="D35" s="2">
        <v>2018</v>
      </c>
      <c r="E35" s="2"/>
      <c r="F35" s="2" t="s">
        <v>57</v>
      </c>
      <c r="G35" s="2" t="s">
        <v>95</v>
      </c>
      <c r="H35" s="2" t="s">
        <v>96</v>
      </c>
      <c r="I35" s="2" t="s">
        <v>28</v>
      </c>
      <c r="J35" s="2" t="s">
        <v>29</v>
      </c>
      <c r="K35" s="2" t="s">
        <v>50</v>
      </c>
      <c r="L35" s="2" t="s">
        <v>60</v>
      </c>
      <c r="M35" s="2">
        <v>1</v>
      </c>
      <c r="N35" s="2" t="s">
        <v>31</v>
      </c>
      <c r="O35" s="2"/>
      <c r="P35" s="2" t="s">
        <v>61</v>
      </c>
      <c r="Q35" s="2" t="s">
        <v>62</v>
      </c>
      <c r="R35" s="2" t="s">
        <v>33</v>
      </c>
      <c r="S35" s="2"/>
      <c r="T35" s="2" t="s">
        <v>63</v>
      </c>
      <c r="U35" s="2">
        <v>3.5</v>
      </c>
      <c r="V35" s="2" t="s">
        <v>35</v>
      </c>
      <c r="W35" s="2" t="s">
        <v>64</v>
      </c>
      <c r="X35" s="2" t="s">
        <v>37</v>
      </c>
      <c r="Y35" s="2" t="s">
        <v>38</v>
      </c>
      <c r="Z35" s="2">
        <v>1.171</v>
      </c>
      <c r="AA35" s="2">
        <v>0.881</v>
      </c>
      <c r="AB35" s="2">
        <v>1.555</v>
      </c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</row>
    <row r="36" ht="13.9" spans="1:115">
      <c r="A36" s="2">
        <v>396</v>
      </c>
      <c r="B36" s="2">
        <v>32</v>
      </c>
      <c r="C36" s="2"/>
      <c r="D36" s="2">
        <v>2018</v>
      </c>
      <c r="E36" s="2"/>
      <c r="F36" s="2" t="s">
        <v>65</v>
      </c>
      <c r="G36" s="2" t="s">
        <v>95</v>
      </c>
      <c r="H36" s="2" t="s">
        <v>96</v>
      </c>
      <c r="I36" s="2" t="s">
        <v>28</v>
      </c>
      <c r="J36" s="2" t="s">
        <v>29</v>
      </c>
      <c r="K36" s="2" t="s">
        <v>50</v>
      </c>
      <c r="L36" s="2" t="s">
        <v>66</v>
      </c>
      <c r="M36" s="2">
        <v>0</v>
      </c>
      <c r="N36" s="2" t="s">
        <v>31</v>
      </c>
      <c r="O36" s="2"/>
      <c r="P36" s="2" t="s">
        <v>61</v>
      </c>
      <c r="Q36" s="2" t="s">
        <v>62</v>
      </c>
      <c r="R36" s="2" t="s">
        <v>33</v>
      </c>
      <c r="S36" s="2"/>
      <c r="T36" s="2" t="s">
        <v>63</v>
      </c>
      <c r="U36" s="2">
        <v>3.5</v>
      </c>
      <c r="V36" s="2" t="s">
        <v>35</v>
      </c>
      <c r="W36" s="2" t="s">
        <v>64</v>
      </c>
      <c r="X36" s="2" t="s">
        <v>37</v>
      </c>
      <c r="Y36" s="2" t="s">
        <v>38</v>
      </c>
      <c r="Z36" s="2">
        <v>1.346</v>
      </c>
      <c r="AA36" s="2">
        <v>1.141</v>
      </c>
      <c r="AB36" s="2">
        <v>1.587</v>
      </c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</row>
    <row r="37" ht="13.85" spans="1:115">
      <c r="A37" s="2">
        <v>455</v>
      </c>
      <c r="B37" s="2">
        <v>1</v>
      </c>
      <c r="C37" s="2" t="s">
        <v>97</v>
      </c>
      <c r="D37" s="2">
        <v>2018</v>
      </c>
      <c r="E37" s="2" t="s">
        <v>98</v>
      </c>
      <c r="F37" s="2" t="s">
        <v>26</v>
      </c>
      <c r="G37" s="2" t="s">
        <v>99</v>
      </c>
      <c r="H37" s="2" t="s">
        <v>100</v>
      </c>
      <c r="I37" s="2" t="s">
        <v>28</v>
      </c>
      <c r="J37" s="2" t="s">
        <v>40</v>
      </c>
      <c r="K37" s="2" t="s">
        <v>50</v>
      </c>
      <c r="L37" s="2">
        <v>51085</v>
      </c>
      <c r="M37" s="2" t="s">
        <v>101</v>
      </c>
      <c r="N37" s="2" t="s">
        <v>31</v>
      </c>
      <c r="O37" s="2"/>
      <c r="P37" s="2" t="s">
        <v>102</v>
      </c>
      <c r="Q37" s="2" t="s">
        <v>103</v>
      </c>
      <c r="R37" s="2" t="s">
        <v>33</v>
      </c>
      <c r="S37" s="2"/>
      <c r="T37" s="2" t="s">
        <v>104</v>
      </c>
      <c r="U37" s="2">
        <v>2</v>
      </c>
      <c r="V37" s="2" t="s">
        <v>35</v>
      </c>
      <c r="W37" s="2" t="s">
        <v>105</v>
      </c>
      <c r="X37" s="2" t="s">
        <v>37</v>
      </c>
      <c r="Y37" s="2" t="s">
        <v>38</v>
      </c>
      <c r="Z37" s="2">
        <v>1.222</v>
      </c>
      <c r="AA37" s="2">
        <v>1.109</v>
      </c>
      <c r="AB37" s="2">
        <v>1.346</v>
      </c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</row>
    <row r="38" ht="13.9" spans="1:115">
      <c r="A38" s="2">
        <v>510</v>
      </c>
      <c r="B38" s="2">
        <v>1</v>
      </c>
      <c r="C38" s="2"/>
      <c r="D38" s="2">
        <v>2018</v>
      </c>
      <c r="E38" s="2"/>
      <c r="F38" s="2" t="s">
        <v>26</v>
      </c>
      <c r="G38" s="2" t="s">
        <v>39</v>
      </c>
      <c r="H38" s="2" t="s">
        <v>39</v>
      </c>
      <c r="I38" s="2" t="s">
        <v>28</v>
      </c>
      <c r="J38" s="2" t="s">
        <v>40</v>
      </c>
      <c r="K38" s="2" t="s">
        <v>30</v>
      </c>
      <c r="L38" s="2"/>
      <c r="M38" s="2"/>
      <c r="N38" s="2"/>
      <c r="O38" s="2"/>
      <c r="P38" s="2"/>
      <c r="Q38" s="2" t="s">
        <v>106</v>
      </c>
      <c r="R38" s="2" t="s">
        <v>33</v>
      </c>
      <c r="S38" s="2"/>
      <c r="T38" s="2">
        <v>21</v>
      </c>
      <c r="U38" s="2">
        <v>10.5</v>
      </c>
      <c r="V38" s="2" t="s">
        <v>35</v>
      </c>
      <c r="W38" s="2" t="s">
        <v>107</v>
      </c>
      <c r="X38" s="2" t="s">
        <v>37</v>
      </c>
      <c r="Y38" s="2" t="s">
        <v>38</v>
      </c>
      <c r="Z38" s="2">
        <v>0.97</v>
      </c>
      <c r="AA38" s="2">
        <v>0.87</v>
      </c>
      <c r="AB38" s="2">
        <v>1.07</v>
      </c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</row>
    <row r="39" ht="13.85" spans="1:115">
      <c r="A39" s="2">
        <v>518</v>
      </c>
      <c r="B39" s="2">
        <v>1</v>
      </c>
      <c r="C39" s="2"/>
      <c r="D39" s="2" t="s">
        <v>108</v>
      </c>
      <c r="E39" s="2"/>
      <c r="F39" s="2" t="s">
        <v>109</v>
      </c>
      <c r="G39" s="2" t="s">
        <v>110</v>
      </c>
      <c r="H39" s="2" t="s">
        <v>110</v>
      </c>
      <c r="I39" s="2" t="s">
        <v>111</v>
      </c>
      <c r="J39" s="2" t="s">
        <v>29</v>
      </c>
      <c r="K39" s="2" t="s">
        <v>50</v>
      </c>
      <c r="L39" s="2"/>
      <c r="M39" s="2"/>
      <c r="N39" s="2" t="s">
        <v>41</v>
      </c>
      <c r="O39" s="2"/>
      <c r="P39" s="2"/>
      <c r="Q39" s="2" t="s">
        <v>112</v>
      </c>
      <c r="R39" s="2" t="s">
        <v>33</v>
      </c>
      <c r="S39" s="2"/>
      <c r="T39" s="2" t="s">
        <v>113</v>
      </c>
      <c r="U39" s="2">
        <v>10.5</v>
      </c>
      <c r="V39" s="2" t="s">
        <v>35</v>
      </c>
      <c r="W39" s="2" t="s">
        <v>114</v>
      </c>
      <c r="X39" s="2" t="s">
        <v>37</v>
      </c>
      <c r="Y39" s="2" t="s">
        <v>38</v>
      </c>
      <c r="Z39" s="2">
        <v>1.01</v>
      </c>
      <c r="AA39" s="2">
        <v>1</v>
      </c>
      <c r="AB39" s="2">
        <v>1.03</v>
      </c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</row>
    <row r="40" ht="13.85" spans="1:115">
      <c r="A40" s="2">
        <v>518</v>
      </c>
      <c r="B40" s="2">
        <v>2</v>
      </c>
      <c r="C40" s="2"/>
      <c r="D40" s="2" t="s">
        <v>108</v>
      </c>
      <c r="E40" s="2"/>
      <c r="F40" s="2" t="s">
        <v>115</v>
      </c>
      <c r="G40" s="2" t="s">
        <v>110</v>
      </c>
      <c r="H40" s="2" t="s">
        <v>110</v>
      </c>
      <c r="I40" s="2" t="s">
        <v>111</v>
      </c>
      <c r="J40" s="2" t="s">
        <v>29</v>
      </c>
      <c r="K40" s="2" t="s">
        <v>50</v>
      </c>
      <c r="L40" s="2"/>
      <c r="M40" s="2"/>
      <c r="N40" s="2" t="s">
        <v>41</v>
      </c>
      <c r="O40" s="2"/>
      <c r="P40" s="2"/>
      <c r="Q40" s="2"/>
      <c r="R40" s="2" t="s">
        <v>33</v>
      </c>
      <c r="S40" s="2"/>
      <c r="T40" s="2" t="s">
        <v>113</v>
      </c>
      <c r="U40" s="2">
        <v>10.5</v>
      </c>
      <c r="V40" s="2" t="s">
        <v>35</v>
      </c>
      <c r="W40" s="2" t="s">
        <v>114</v>
      </c>
      <c r="X40" s="2" t="s">
        <v>37</v>
      </c>
      <c r="Y40" s="2" t="s">
        <v>38</v>
      </c>
      <c r="Z40" s="2">
        <v>1.01</v>
      </c>
      <c r="AA40" s="2">
        <v>1</v>
      </c>
      <c r="AB40" s="2">
        <v>1.02</v>
      </c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</row>
    <row r="41" ht="13.85" spans="1:115">
      <c r="A41" s="2">
        <v>518</v>
      </c>
      <c r="B41" s="2">
        <v>3</v>
      </c>
      <c r="C41" s="2"/>
      <c r="D41" s="2" t="s">
        <v>108</v>
      </c>
      <c r="E41" s="2"/>
      <c r="F41" s="2" t="s">
        <v>116</v>
      </c>
      <c r="G41" s="2" t="s">
        <v>110</v>
      </c>
      <c r="H41" s="2" t="s">
        <v>110</v>
      </c>
      <c r="I41" s="2" t="s">
        <v>111</v>
      </c>
      <c r="J41" s="2" t="s">
        <v>29</v>
      </c>
      <c r="K41" s="2" t="s">
        <v>50</v>
      </c>
      <c r="L41" s="2"/>
      <c r="M41" s="2"/>
      <c r="N41" s="2" t="s">
        <v>41</v>
      </c>
      <c r="O41" s="2"/>
      <c r="P41" s="2"/>
      <c r="Q41" s="2"/>
      <c r="R41" s="2" t="s">
        <v>33</v>
      </c>
      <c r="S41" s="2"/>
      <c r="T41" s="2" t="s">
        <v>113</v>
      </c>
      <c r="U41" s="2">
        <v>10.5</v>
      </c>
      <c r="V41" s="2" t="s">
        <v>35</v>
      </c>
      <c r="W41" s="2" t="s">
        <v>114</v>
      </c>
      <c r="X41" s="2" t="s">
        <v>37</v>
      </c>
      <c r="Y41" s="2" t="s">
        <v>38</v>
      </c>
      <c r="Z41" s="2">
        <v>1</v>
      </c>
      <c r="AA41" s="2">
        <v>0.98</v>
      </c>
      <c r="AB41" s="2">
        <v>1.01</v>
      </c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</row>
    <row r="42" ht="13.85" spans="1:115">
      <c r="A42" s="2">
        <v>595</v>
      </c>
      <c r="B42" s="2">
        <v>1</v>
      </c>
      <c r="C42" s="2"/>
      <c r="D42" s="2">
        <v>2022</v>
      </c>
      <c r="E42" s="2"/>
      <c r="F42" s="2" t="s">
        <v>26</v>
      </c>
      <c r="G42" s="2" t="s">
        <v>117</v>
      </c>
      <c r="H42" s="2" t="s">
        <v>117</v>
      </c>
      <c r="I42" s="2" t="s">
        <v>28</v>
      </c>
      <c r="J42" s="2" t="s">
        <v>29</v>
      </c>
      <c r="K42" s="2" t="s">
        <v>50</v>
      </c>
      <c r="L42" s="2"/>
      <c r="M42" s="2"/>
      <c r="N42" s="2" t="s">
        <v>118</v>
      </c>
      <c r="O42" s="2"/>
      <c r="P42" s="2"/>
      <c r="Q42" s="2" t="s">
        <v>119</v>
      </c>
      <c r="R42" s="2" t="s">
        <v>33</v>
      </c>
      <c r="S42" s="2"/>
      <c r="T42" s="2" t="s">
        <v>120</v>
      </c>
      <c r="U42" s="2">
        <v>1.5</v>
      </c>
      <c r="V42" s="2" t="s">
        <v>35</v>
      </c>
      <c r="W42" s="2" t="s">
        <v>121</v>
      </c>
      <c r="X42" s="2" t="s">
        <v>37</v>
      </c>
      <c r="Y42" s="2" t="s">
        <v>38</v>
      </c>
      <c r="Z42" s="2">
        <v>1.73</v>
      </c>
      <c r="AA42" s="2">
        <v>1.38</v>
      </c>
      <c r="AB42" s="2">
        <v>2.17</v>
      </c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</row>
    <row r="43" ht="13.85" spans="1:115">
      <c r="A43" s="2">
        <v>595</v>
      </c>
      <c r="B43" s="2">
        <v>2</v>
      </c>
      <c r="C43" s="2"/>
      <c r="D43" s="2">
        <v>2022</v>
      </c>
      <c r="E43" s="2"/>
      <c r="F43" s="2" t="s">
        <v>26</v>
      </c>
      <c r="G43" s="2" t="s">
        <v>117</v>
      </c>
      <c r="H43" s="2" t="s">
        <v>117</v>
      </c>
      <c r="I43" s="2" t="s">
        <v>28</v>
      </c>
      <c r="J43" s="2" t="s">
        <v>29</v>
      </c>
      <c r="K43" s="2" t="s">
        <v>50</v>
      </c>
      <c r="L43" s="2"/>
      <c r="M43" s="2"/>
      <c r="N43" s="2" t="s">
        <v>118</v>
      </c>
      <c r="O43" s="2"/>
      <c r="P43" s="2"/>
      <c r="Q43" s="2" t="s">
        <v>119</v>
      </c>
      <c r="R43" s="2" t="s">
        <v>33</v>
      </c>
      <c r="S43" s="2"/>
      <c r="T43" s="2" t="s">
        <v>120</v>
      </c>
      <c r="U43" s="2">
        <v>1.5</v>
      </c>
      <c r="V43" s="2" t="s">
        <v>35</v>
      </c>
      <c r="W43" s="2" t="s">
        <v>122</v>
      </c>
      <c r="X43" s="2" t="s">
        <v>37</v>
      </c>
      <c r="Y43" s="2" t="s">
        <v>38</v>
      </c>
      <c r="Z43" s="2">
        <v>1.66</v>
      </c>
      <c r="AA43" s="2">
        <v>1.31</v>
      </c>
      <c r="AB43" s="2">
        <v>2.09</v>
      </c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</row>
    <row r="44" ht="13.85" spans="1:115">
      <c r="A44" s="2">
        <v>599</v>
      </c>
      <c r="B44" s="2">
        <v>1</v>
      </c>
      <c r="C44" s="2"/>
      <c r="D44" s="2">
        <v>2018</v>
      </c>
      <c r="E44" s="2"/>
      <c r="F44" s="2" t="s">
        <v>26</v>
      </c>
      <c r="G44" s="2" t="s">
        <v>123</v>
      </c>
      <c r="H44" s="2" t="s">
        <v>123</v>
      </c>
      <c r="I44" s="2" t="s">
        <v>28</v>
      </c>
      <c r="J44" s="2" t="s">
        <v>124</v>
      </c>
      <c r="K44" s="2" t="s">
        <v>30</v>
      </c>
      <c r="L44" s="2"/>
      <c r="M44" s="2"/>
      <c r="N44" s="2" t="s">
        <v>118</v>
      </c>
      <c r="O44" s="2"/>
      <c r="P44" s="2"/>
      <c r="Q44" s="2"/>
      <c r="R44" s="2" t="s">
        <v>33</v>
      </c>
      <c r="S44" s="2"/>
      <c r="T44" s="2" t="s">
        <v>34</v>
      </c>
      <c r="U44" s="2">
        <v>13.5</v>
      </c>
      <c r="V44" s="2" t="s">
        <v>35</v>
      </c>
      <c r="W44" s="2" t="s">
        <v>125</v>
      </c>
      <c r="X44" s="2" t="s">
        <v>37</v>
      </c>
      <c r="Y44" s="2" t="s">
        <v>38</v>
      </c>
      <c r="Z44" s="2">
        <v>1.49</v>
      </c>
      <c r="AA44" s="2">
        <v>1.07</v>
      </c>
      <c r="AB44" s="2">
        <v>2.07</v>
      </c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</row>
    <row r="45" ht="13.85" spans="1:115">
      <c r="A45" s="2">
        <v>607</v>
      </c>
      <c r="B45" s="2">
        <v>1</v>
      </c>
      <c r="C45" s="2" t="s">
        <v>126</v>
      </c>
      <c r="D45" s="2">
        <v>2018</v>
      </c>
      <c r="E45" s="2" t="s">
        <v>127</v>
      </c>
      <c r="F45" s="2" t="s">
        <v>26</v>
      </c>
      <c r="G45" s="2" t="s">
        <v>128</v>
      </c>
      <c r="H45" s="2" t="s">
        <v>128</v>
      </c>
      <c r="I45" s="2" t="s">
        <v>129</v>
      </c>
      <c r="J45" s="2" t="s">
        <v>130</v>
      </c>
      <c r="K45" s="2" t="s">
        <v>50</v>
      </c>
      <c r="L45" s="2">
        <v>52284</v>
      </c>
      <c r="M45" s="2"/>
      <c r="N45" s="2" t="s">
        <v>118</v>
      </c>
      <c r="O45" s="2"/>
      <c r="P45" s="2" t="s">
        <v>131</v>
      </c>
      <c r="Q45" s="2" t="s">
        <v>132</v>
      </c>
      <c r="R45" s="2" t="s">
        <v>33</v>
      </c>
      <c r="S45" s="2"/>
      <c r="T45" s="2" t="s">
        <v>133</v>
      </c>
      <c r="U45" s="2">
        <v>14</v>
      </c>
      <c r="V45" s="2" t="s">
        <v>35</v>
      </c>
      <c r="W45" s="2" t="s">
        <v>134</v>
      </c>
      <c r="X45" s="2" t="s">
        <v>37</v>
      </c>
      <c r="Y45" s="2" t="s">
        <v>38</v>
      </c>
      <c r="Z45" s="2">
        <v>1.13</v>
      </c>
      <c r="AA45" s="2">
        <v>0.9</v>
      </c>
      <c r="AB45" s="2">
        <v>1.42</v>
      </c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</row>
    <row r="46" ht="13.85" spans="1:115">
      <c r="A46" s="2">
        <v>775</v>
      </c>
      <c r="B46" s="2">
        <v>1</v>
      </c>
      <c r="C46" s="2" t="s">
        <v>135</v>
      </c>
      <c r="D46" s="2">
        <v>2023</v>
      </c>
      <c r="E46" s="2" t="s">
        <v>136</v>
      </c>
      <c r="F46" s="2" t="s">
        <v>26</v>
      </c>
      <c r="G46" s="2" t="s">
        <v>27</v>
      </c>
      <c r="H46" s="2" t="s">
        <v>27</v>
      </c>
      <c r="I46" s="2" t="s">
        <v>28</v>
      </c>
      <c r="J46" s="2" t="s">
        <v>29</v>
      </c>
      <c r="K46" s="2" t="s">
        <v>30</v>
      </c>
      <c r="L46" s="2"/>
      <c r="M46" s="2"/>
      <c r="N46" s="2" t="s">
        <v>31</v>
      </c>
      <c r="O46" s="2"/>
      <c r="P46" s="2" t="s">
        <v>137</v>
      </c>
      <c r="Q46" s="2" t="s">
        <v>138</v>
      </c>
      <c r="R46" s="2" t="s">
        <v>33</v>
      </c>
      <c r="S46" s="2"/>
      <c r="T46" s="2">
        <v>0</v>
      </c>
      <c r="U46" s="2">
        <v>0</v>
      </c>
      <c r="V46" s="2" t="s">
        <v>139</v>
      </c>
      <c r="W46" s="2" t="s">
        <v>140</v>
      </c>
      <c r="X46" s="2" t="s">
        <v>37</v>
      </c>
      <c r="Y46" s="2" t="s">
        <v>38</v>
      </c>
      <c r="Z46" s="2">
        <v>1.07</v>
      </c>
      <c r="AA46" s="2">
        <v>1.05</v>
      </c>
      <c r="AB46" s="2">
        <v>1.1</v>
      </c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</row>
    <row r="47" ht="13.85" spans="1:115">
      <c r="A47" s="2">
        <v>781</v>
      </c>
      <c r="B47" s="2">
        <v>1</v>
      </c>
      <c r="C47" s="2"/>
      <c r="D47" s="2">
        <v>2022</v>
      </c>
      <c r="E47" s="2"/>
      <c r="F47" s="2" t="s">
        <v>26</v>
      </c>
      <c r="G47" s="2" t="s">
        <v>141</v>
      </c>
      <c r="H47" s="2" t="s">
        <v>141</v>
      </c>
      <c r="I47" s="2" t="s">
        <v>28</v>
      </c>
      <c r="J47" s="2" t="s">
        <v>124</v>
      </c>
      <c r="K47" s="2" t="s">
        <v>30</v>
      </c>
      <c r="L47" s="2"/>
      <c r="M47" s="2"/>
      <c r="N47" s="2" t="s">
        <v>41</v>
      </c>
      <c r="O47" s="2"/>
      <c r="P47" s="2"/>
      <c r="Q47" s="2" t="s">
        <v>142</v>
      </c>
      <c r="R47" s="2" t="s">
        <v>33</v>
      </c>
      <c r="S47" s="2"/>
      <c r="T47" s="2" t="s">
        <v>113</v>
      </c>
      <c r="U47" s="2">
        <v>10.5</v>
      </c>
      <c r="V47" s="2" t="s">
        <v>35</v>
      </c>
      <c r="W47" s="2" t="s">
        <v>37</v>
      </c>
      <c r="X47" s="2" t="s">
        <v>37</v>
      </c>
      <c r="Y47" s="2" t="s">
        <v>38</v>
      </c>
      <c r="Z47" s="2">
        <v>1.17</v>
      </c>
      <c r="AA47" s="2">
        <v>0.87</v>
      </c>
      <c r="AB47" s="2">
        <v>1.56</v>
      </c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</row>
    <row r="48" ht="13.85" spans="1:115">
      <c r="A48" s="2">
        <v>799</v>
      </c>
      <c r="B48" s="2">
        <v>1</v>
      </c>
      <c r="C48" s="2"/>
      <c r="D48" s="2">
        <v>2016</v>
      </c>
      <c r="E48" s="2"/>
      <c r="F48" s="2" t="s">
        <v>26</v>
      </c>
      <c r="G48" s="2" t="s">
        <v>143</v>
      </c>
      <c r="H48" s="2" t="s">
        <v>143</v>
      </c>
      <c r="I48" s="2" t="s">
        <v>48</v>
      </c>
      <c r="J48" s="2" t="s">
        <v>29</v>
      </c>
      <c r="K48" s="2" t="s">
        <v>50</v>
      </c>
      <c r="L48" s="2"/>
      <c r="M48" s="2">
        <v>0.39</v>
      </c>
      <c r="N48" s="2" t="s">
        <v>31</v>
      </c>
      <c r="O48" s="2"/>
      <c r="P48" s="2"/>
      <c r="Q48" s="2" t="s">
        <v>144</v>
      </c>
      <c r="R48" s="2" t="s">
        <v>33</v>
      </c>
      <c r="S48" s="2"/>
      <c r="T48" s="2"/>
      <c r="U48" s="2"/>
      <c r="V48" s="2"/>
      <c r="W48" s="2" t="s">
        <v>145</v>
      </c>
      <c r="X48" s="2" t="s">
        <v>37</v>
      </c>
      <c r="Y48" s="2" t="s">
        <v>146</v>
      </c>
      <c r="Z48" s="2">
        <v>1.06</v>
      </c>
      <c r="AA48" s="2">
        <v>0.99</v>
      </c>
      <c r="AB48" s="2">
        <v>1.14</v>
      </c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</row>
    <row r="49" ht="13.85" spans="1:115">
      <c r="A49" s="2">
        <v>885</v>
      </c>
      <c r="B49" s="2">
        <v>1</v>
      </c>
      <c r="C49" s="2"/>
      <c r="D49" s="2">
        <v>2024</v>
      </c>
      <c r="E49" s="2"/>
      <c r="F49" s="2" t="s">
        <v>26</v>
      </c>
      <c r="G49" s="2" t="s">
        <v>147</v>
      </c>
      <c r="H49" s="2" t="s">
        <v>147</v>
      </c>
      <c r="I49" s="2" t="s">
        <v>28</v>
      </c>
      <c r="J49" s="2" t="s">
        <v>130</v>
      </c>
      <c r="K49" s="2" t="s">
        <v>50</v>
      </c>
      <c r="L49" s="2"/>
      <c r="M49" s="2">
        <v>0.49</v>
      </c>
      <c r="N49" s="2"/>
      <c r="O49" s="2"/>
      <c r="P49" s="2"/>
      <c r="Q49" s="2" t="s">
        <v>148</v>
      </c>
      <c r="R49" s="2" t="s">
        <v>33</v>
      </c>
      <c r="S49" s="2"/>
      <c r="T49" s="2"/>
      <c r="U49" s="2"/>
      <c r="V49" s="2" t="s">
        <v>139</v>
      </c>
      <c r="W49" s="2" t="s">
        <v>149</v>
      </c>
      <c r="X49" s="2" t="s">
        <v>37</v>
      </c>
      <c r="Y49" s="2" t="s">
        <v>150</v>
      </c>
      <c r="Z49" s="2">
        <v>1.03</v>
      </c>
      <c r="AA49" s="2">
        <v>1.01</v>
      </c>
      <c r="AB49" s="2">
        <v>1.05</v>
      </c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</row>
    <row r="50" ht="13.85" spans="1:115">
      <c r="A50" s="2">
        <v>894</v>
      </c>
      <c r="B50" s="2">
        <v>1</v>
      </c>
      <c r="C50" s="2"/>
      <c r="D50" s="2">
        <v>2022</v>
      </c>
      <c r="E50" s="2"/>
      <c r="F50" s="2" t="s">
        <v>26</v>
      </c>
      <c r="G50" s="2" t="s">
        <v>151</v>
      </c>
      <c r="H50" s="2" t="s">
        <v>151</v>
      </c>
      <c r="I50" s="2" t="s">
        <v>28</v>
      </c>
      <c r="J50" s="2" t="s">
        <v>152</v>
      </c>
      <c r="K50" s="2" t="s">
        <v>30</v>
      </c>
      <c r="L50" s="2"/>
      <c r="M50" s="2">
        <v>0.5</v>
      </c>
      <c r="N50" s="2" t="s">
        <v>118</v>
      </c>
      <c r="O50" s="2"/>
      <c r="P50" s="2"/>
      <c r="Q50" s="2"/>
      <c r="R50" s="2" t="s">
        <v>33</v>
      </c>
      <c r="S50" s="2"/>
      <c r="T50" s="2" t="s">
        <v>113</v>
      </c>
      <c r="U50" s="2">
        <v>13.5</v>
      </c>
      <c r="V50" s="2" t="s">
        <v>35</v>
      </c>
      <c r="W50" s="2" t="s">
        <v>153</v>
      </c>
      <c r="X50" s="2" t="s">
        <v>37</v>
      </c>
      <c r="Y50" s="2" t="s">
        <v>38</v>
      </c>
      <c r="Z50" s="2">
        <v>1.118</v>
      </c>
      <c r="AA50" s="2">
        <v>0.786</v>
      </c>
      <c r="AB50" s="2">
        <v>1.592</v>
      </c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</row>
    <row r="51" ht="13.85" spans="1:115">
      <c r="A51" s="2">
        <v>915</v>
      </c>
      <c r="B51" s="2">
        <v>1</v>
      </c>
      <c r="C51" s="2"/>
      <c r="D51" s="2">
        <v>2022</v>
      </c>
      <c r="E51" s="2"/>
      <c r="F51" s="2" t="s">
        <v>26</v>
      </c>
      <c r="G51" s="2" t="s">
        <v>154</v>
      </c>
      <c r="H51" s="2" t="s">
        <v>154</v>
      </c>
      <c r="I51" s="2" t="s">
        <v>28</v>
      </c>
      <c r="J51" s="2" t="s">
        <v>124</v>
      </c>
      <c r="K51" s="2" t="s">
        <v>30</v>
      </c>
      <c r="L51" s="2"/>
      <c r="M51" s="2">
        <v>0.44</v>
      </c>
      <c r="N51" s="2" t="s">
        <v>31</v>
      </c>
      <c r="O51" s="2"/>
      <c r="P51" s="2"/>
      <c r="Q51" s="2" t="s">
        <v>155</v>
      </c>
      <c r="R51" s="2" t="s">
        <v>33</v>
      </c>
      <c r="S51" s="2"/>
      <c r="T51" s="2" t="s">
        <v>113</v>
      </c>
      <c r="U51" s="2">
        <v>13.5</v>
      </c>
      <c r="V51" s="2" t="s">
        <v>35</v>
      </c>
      <c r="W51" s="2" t="s">
        <v>156</v>
      </c>
      <c r="X51" s="2" t="s">
        <v>37</v>
      </c>
      <c r="Y51" s="2" t="s">
        <v>38</v>
      </c>
      <c r="Z51" s="2">
        <v>0.763</v>
      </c>
      <c r="AA51" s="2">
        <v>0.664</v>
      </c>
      <c r="AB51" s="2">
        <v>0.877</v>
      </c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</row>
    <row r="52" ht="13.85" spans="1:115">
      <c r="A52" s="2">
        <v>992</v>
      </c>
      <c r="B52" s="2">
        <v>1</v>
      </c>
      <c r="C52" s="2" t="s">
        <v>157</v>
      </c>
      <c r="D52" s="2">
        <v>2020</v>
      </c>
      <c r="E52" s="2" t="s">
        <v>158</v>
      </c>
      <c r="F52" s="2" t="s">
        <v>26</v>
      </c>
      <c r="G52" s="2" t="s">
        <v>159</v>
      </c>
      <c r="H52" s="2" t="s">
        <v>159</v>
      </c>
      <c r="I52" s="2" t="s">
        <v>28</v>
      </c>
      <c r="J52" s="2" t="s">
        <v>49</v>
      </c>
      <c r="K52" s="2" t="s">
        <v>30</v>
      </c>
      <c r="L52" s="2" t="s">
        <v>160</v>
      </c>
      <c r="M52" s="2" t="s">
        <v>101</v>
      </c>
      <c r="N52" s="2" t="s">
        <v>31</v>
      </c>
      <c r="O52" s="2"/>
      <c r="P52" s="2" t="s">
        <v>161</v>
      </c>
      <c r="Q52" s="2" t="s">
        <v>162</v>
      </c>
      <c r="R52" s="2" t="s">
        <v>33</v>
      </c>
      <c r="S52" s="2"/>
      <c r="T52" s="2">
        <v>30</v>
      </c>
      <c r="U52" s="2">
        <v>15</v>
      </c>
      <c r="V52" s="2" t="s">
        <v>35</v>
      </c>
      <c r="W52" s="2" t="s">
        <v>163</v>
      </c>
      <c r="X52" s="2" t="s">
        <v>164</v>
      </c>
      <c r="Y52" s="2" t="s">
        <v>38</v>
      </c>
      <c r="Z52" s="2">
        <v>1.1</v>
      </c>
      <c r="AA52" s="2">
        <v>0.94</v>
      </c>
      <c r="AB52" s="2">
        <v>1.28</v>
      </c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</row>
    <row r="53" ht="13.85" spans="1:115">
      <c r="A53" s="2">
        <v>993</v>
      </c>
      <c r="B53" s="2">
        <v>1</v>
      </c>
      <c r="C53" s="2"/>
      <c r="D53" s="2">
        <v>2023</v>
      </c>
      <c r="E53" s="2"/>
      <c r="F53" s="2" t="s">
        <v>26</v>
      </c>
      <c r="G53" s="2" t="s">
        <v>159</v>
      </c>
      <c r="H53" s="2" t="s">
        <v>159</v>
      </c>
      <c r="I53" s="2" t="s">
        <v>28</v>
      </c>
      <c r="J53" s="2" t="s">
        <v>49</v>
      </c>
      <c r="K53" s="2" t="s">
        <v>30</v>
      </c>
      <c r="L53" s="2"/>
      <c r="M53" s="2"/>
      <c r="N53" s="2" t="s">
        <v>31</v>
      </c>
      <c r="O53" s="2"/>
      <c r="P53" s="2"/>
      <c r="Q53" s="2" t="s">
        <v>165</v>
      </c>
      <c r="R53" s="2" t="s">
        <v>33</v>
      </c>
      <c r="S53" s="2"/>
      <c r="T53" s="2" t="s">
        <v>113</v>
      </c>
      <c r="U53" s="2">
        <v>10.5</v>
      </c>
      <c r="V53" s="2" t="s">
        <v>35</v>
      </c>
      <c r="W53" s="2" t="s">
        <v>166</v>
      </c>
      <c r="X53" s="2" t="s">
        <v>164</v>
      </c>
      <c r="Y53" s="2" t="s">
        <v>38</v>
      </c>
      <c r="Z53" s="2">
        <v>1.035</v>
      </c>
      <c r="AA53" s="2">
        <v>0.718</v>
      </c>
      <c r="AB53" s="2">
        <v>1.491</v>
      </c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</row>
    <row r="54" ht="13.85" spans="1:115">
      <c r="A54" s="2">
        <v>1063</v>
      </c>
      <c r="B54" s="2">
        <v>1</v>
      </c>
      <c r="C54" s="2"/>
      <c r="D54" s="2"/>
      <c r="E54" s="2"/>
      <c r="F54" s="2" t="s">
        <v>26</v>
      </c>
      <c r="G54" s="2" t="s">
        <v>151</v>
      </c>
      <c r="H54" s="2" t="s">
        <v>151</v>
      </c>
      <c r="I54" s="2" t="s">
        <v>28</v>
      </c>
      <c r="J54" s="2" t="s">
        <v>152</v>
      </c>
      <c r="K54" s="2" t="s">
        <v>30</v>
      </c>
      <c r="L54" s="2" t="s">
        <v>167</v>
      </c>
      <c r="M54" s="2" t="s">
        <v>101</v>
      </c>
      <c r="N54" s="2" t="s">
        <v>31</v>
      </c>
      <c r="O54" s="2" t="s">
        <v>168</v>
      </c>
      <c r="P54" s="2" t="s">
        <v>169</v>
      </c>
      <c r="Q54" s="2" t="s">
        <v>170</v>
      </c>
      <c r="R54" s="2" t="s">
        <v>33</v>
      </c>
      <c r="S54" s="2" t="s">
        <v>171</v>
      </c>
      <c r="T54" s="2" t="s">
        <v>113</v>
      </c>
      <c r="U54" s="2">
        <v>10.5</v>
      </c>
      <c r="V54" s="2" t="s">
        <v>35</v>
      </c>
      <c r="W54" s="2" t="s">
        <v>172</v>
      </c>
      <c r="X54" s="2" t="s">
        <v>164</v>
      </c>
      <c r="Y54" s="2" t="s">
        <v>38</v>
      </c>
      <c r="Z54" s="2">
        <v>1.93</v>
      </c>
      <c r="AA54" s="2">
        <v>1.47</v>
      </c>
      <c r="AB54" s="2">
        <v>2.53</v>
      </c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</row>
    <row r="55" ht="13.85" spans="1:115">
      <c r="A55" s="2">
        <v>1063</v>
      </c>
      <c r="B55" s="2">
        <v>2</v>
      </c>
      <c r="C55" s="2"/>
      <c r="D55" s="2"/>
      <c r="E55" s="2"/>
      <c r="F55" s="2" t="s">
        <v>26</v>
      </c>
      <c r="G55" s="2" t="s">
        <v>173</v>
      </c>
      <c r="H55" s="2" t="s">
        <v>173</v>
      </c>
      <c r="I55" s="2" t="s">
        <v>28</v>
      </c>
      <c r="J55" s="2" t="s">
        <v>152</v>
      </c>
      <c r="K55" s="2" t="s">
        <v>30</v>
      </c>
      <c r="L55" s="2" t="s">
        <v>174</v>
      </c>
      <c r="M55" s="2" t="s">
        <v>101</v>
      </c>
      <c r="N55" s="2" t="s">
        <v>31</v>
      </c>
      <c r="O55" s="2" t="s">
        <v>168</v>
      </c>
      <c r="P55" s="2" t="s">
        <v>169</v>
      </c>
      <c r="Q55" s="2" t="s">
        <v>170</v>
      </c>
      <c r="R55" s="2" t="s">
        <v>33</v>
      </c>
      <c r="S55" s="2" t="s">
        <v>171</v>
      </c>
      <c r="T55" s="2" t="s">
        <v>113</v>
      </c>
      <c r="U55" s="2">
        <v>10.5</v>
      </c>
      <c r="V55" s="2" t="s">
        <v>35</v>
      </c>
      <c r="W55" s="2" t="s">
        <v>172</v>
      </c>
      <c r="X55" s="2" t="s">
        <v>164</v>
      </c>
      <c r="Y55" s="2" t="s">
        <v>38</v>
      </c>
      <c r="Z55" s="2">
        <v>1.08</v>
      </c>
      <c r="AA55" s="2">
        <v>0.74</v>
      </c>
      <c r="AB55" s="2">
        <v>1.57</v>
      </c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</row>
    <row r="56" ht="13.85" spans="1:115">
      <c r="A56" s="2">
        <v>1063</v>
      </c>
      <c r="B56" s="2">
        <v>3</v>
      </c>
      <c r="C56" s="2"/>
      <c r="D56" s="2"/>
      <c r="E56" s="2"/>
      <c r="F56" s="2" t="s">
        <v>26</v>
      </c>
      <c r="G56" s="2" t="s">
        <v>175</v>
      </c>
      <c r="H56" s="2" t="s">
        <v>175</v>
      </c>
      <c r="I56" s="2" t="s">
        <v>28</v>
      </c>
      <c r="J56" s="2" t="s">
        <v>124</v>
      </c>
      <c r="K56" s="2" t="s">
        <v>30</v>
      </c>
      <c r="L56" s="2" t="s">
        <v>176</v>
      </c>
      <c r="M56" s="2" t="s">
        <v>101</v>
      </c>
      <c r="N56" s="2" t="s">
        <v>31</v>
      </c>
      <c r="O56" s="2" t="s">
        <v>168</v>
      </c>
      <c r="P56" s="2" t="s">
        <v>169</v>
      </c>
      <c r="Q56" s="2" t="s">
        <v>170</v>
      </c>
      <c r="R56" s="2" t="s">
        <v>33</v>
      </c>
      <c r="S56" s="2" t="s">
        <v>171</v>
      </c>
      <c r="T56" s="2" t="s">
        <v>113</v>
      </c>
      <c r="U56" s="2">
        <v>10.5</v>
      </c>
      <c r="V56" s="2" t="s">
        <v>35</v>
      </c>
      <c r="W56" s="2" t="s">
        <v>172</v>
      </c>
      <c r="X56" s="2" t="s">
        <v>164</v>
      </c>
      <c r="Y56" s="2" t="s">
        <v>38</v>
      </c>
      <c r="Z56" s="2">
        <v>1.73</v>
      </c>
      <c r="AA56" s="2">
        <v>1.38</v>
      </c>
      <c r="AB56" s="2">
        <v>2.16</v>
      </c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</row>
    <row r="57" ht="13.85" spans="1:115">
      <c r="A57" s="2">
        <v>1063</v>
      </c>
      <c r="B57" s="2">
        <v>4</v>
      </c>
      <c r="C57" s="2"/>
      <c r="D57" s="2"/>
      <c r="E57" s="2"/>
      <c r="F57" s="2" t="s">
        <v>26</v>
      </c>
      <c r="G57" s="2" t="s">
        <v>177</v>
      </c>
      <c r="H57" s="2" t="s">
        <v>177</v>
      </c>
      <c r="I57" s="2" t="s">
        <v>28</v>
      </c>
      <c r="J57" s="2" t="s">
        <v>124</v>
      </c>
      <c r="K57" s="2" t="s">
        <v>30</v>
      </c>
      <c r="L57" s="2" t="s">
        <v>178</v>
      </c>
      <c r="M57" s="2" t="s">
        <v>101</v>
      </c>
      <c r="N57" s="2" t="s">
        <v>31</v>
      </c>
      <c r="O57" s="2" t="s">
        <v>168</v>
      </c>
      <c r="P57" s="2" t="s">
        <v>169</v>
      </c>
      <c r="Q57" s="2" t="s">
        <v>170</v>
      </c>
      <c r="R57" s="2" t="s">
        <v>33</v>
      </c>
      <c r="S57" s="2" t="s">
        <v>171</v>
      </c>
      <c r="T57" s="2" t="s">
        <v>113</v>
      </c>
      <c r="U57" s="2">
        <v>10.5</v>
      </c>
      <c r="V57" s="2" t="s">
        <v>35</v>
      </c>
      <c r="W57" s="2" t="s">
        <v>172</v>
      </c>
      <c r="X57" s="2" t="s">
        <v>164</v>
      </c>
      <c r="Y57" s="2" t="s">
        <v>38</v>
      </c>
      <c r="Z57" s="2">
        <v>1.6</v>
      </c>
      <c r="AA57" s="2">
        <v>1.08</v>
      </c>
      <c r="AB57" s="2">
        <v>2.05</v>
      </c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</row>
    <row r="58" ht="13.85" spans="1:115">
      <c r="A58" s="2">
        <v>1103</v>
      </c>
      <c r="B58" s="2">
        <v>1</v>
      </c>
      <c r="C58" s="2" t="s">
        <v>179</v>
      </c>
      <c r="D58" s="2" t="s">
        <v>180</v>
      </c>
      <c r="E58" s="2"/>
      <c r="F58" s="2" t="s">
        <v>181</v>
      </c>
      <c r="G58" s="2" t="s">
        <v>182</v>
      </c>
      <c r="H58" s="2" t="s">
        <v>100</v>
      </c>
      <c r="I58" s="2" t="s">
        <v>28</v>
      </c>
      <c r="J58" s="2" t="s">
        <v>40</v>
      </c>
      <c r="K58" s="2" t="s">
        <v>50</v>
      </c>
      <c r="L58" s="2" t="s">
        <v>183</v>
      </c>
      <c r="M58" s="2" t="s">
        <v>101</v>
      </c>
      <c r="N58" s="2" t="s">
        <v>31</v>
      </c>
      <c r="O58" s="2" t="s">
        <v>184</v>
      </c>
      <c r="P58" s="2" t="s">
        <v>61</v>
      </c>
      <c r="Q58" s="2" t="s">
        <v>185</v>
      </c>
      <c r="R58" s="2" t="s">
        <v>33</v>
      </c>
      <c r="S58" s="2" t="s">
        <v>186</v>
      </c>
      <c r="T58" s="2" t="s">
        <v>187</v>
      </c>
      <c r="U58" s="2">
        <v>7</v>
      </c>
      <c r="V58" s="2" t="s">
        <v>35</v>
      </c>
      <c r="W58" s="2" t="s">
        <v>188</v>
      </c>
      <c r="X58" s="2" t="s">
        <v>164</v>
      </c>
      <c r="Y58" s="2" t="s">
        <v>38</v>
      </c>
      <c r="Z58" s="2">
        <v>1.04</v>
      </c>
      <c r="AA58" s="2">
        <v>0.99</v>
      </c>
      <c r="AB58" s="2">
        <v>1.09</v>
      </c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</row>
    <row r="59" ht="13.85" spans="1:115">
      <c r="A59" s="2">
        <v>1103</v>
      </c>
      <c r="B59" s="2">
        <v>2</v>
      </c>
      <c r="C59" s="2"/>
      <c r="D59" s="2"/>
      <c r="E59" s="2"/>
      <c r="F59" s="2" t="s">
        <v>181</v>
      </c>
      <c r="G59" s="2" t="s">
        <v>182</v>
      </c>
      <c r="H59" s="2" t="s">
        <v>100</v>
      </c>
      <c r="I59" s="2" t="s">
        <v>28</v>
      </c>
      <c r="J59" s="2" t="s">
        <v>40</v>
      </c>
      <c r="K59" s="2" t="s">
        <v>50</v>
      </c>
      <c r="L59" s="2">
        <v>26690</v>
      </c>
      <c r="M59" s="2" t="s">
        <v>101</v>
      </c>
      <c r="N59" s="2" t="s">
        <v>31</v>
      </c>
      <c r="O59" s="2" t="s">
        <v>184</v>
      </c>
      <c r="P59" s="2" t="s">
        <v>61</v>
      </c>
      <c r="Q59" s="2" t="s">
        <v>185</v>
      </c>
      <c r="R59" s="2" t="s">
        <v>33</v>
      </c>
      <c r="S59" s="2" t="s">
        <v>186</v>
      </c>
      <c r="T59" s="2" t="s">
        <v>187</v>
      </c>
      <c r="U59" s="2">
        <v>7</v>
      </c>
      <c r="V59" s="2" t="s">
        <v>35</v>
      </c>
      <c r="W59" s="2" t="s">
        <v>188</v>
      </c>
      <c r="X59" s="2" t="s">
        <v>164</v>
      </c>
      <c r="Y59" s="2" t="s">
        <v>38</v>
      </c>
      <c r="Z59" s="2">
        <v>0.95</v>
      </c>
      <c r="AA59" s="2">
        <v>0.93</v>
      </c>
      <c r="AB59" s="2">
        <v>0.98</v>
      </c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</row>
    <row r="60" ht="13.85" spans="1:115">
      <c r="A60" s="2">
        <v>1129</v>
      </c>
      <c r="B60" s="2">
        <v>1</v>
      </c>
      <c r="C60" s="2"/>
      <c r="D60" s="2"/>
      <c r="E60" s="2"/>
      <c r="F60" s="2" t="s">
        <v>26</v>
      </c>
      <c r="G60" s="2" t="s">
        <v>189</v>
      </c>
      <c r="H60" s="2" t="s">
        <v>47</v>
      </c>
      <c r="I60" s="2" t="s">
        <v>48</v>
      </c>
      <c r="J60" s="2" t="s">
        <v>190</v>
      </c>
      <c r="K60" s="2" t="s">
        <v>50</v>
      </c>
      <c r="L60" s="2" t="s">
        <v>191</v>
      </c>
      <c r="M60" s="2" t="s">
        <v>101</v>
      </c>
      <c r="N60" s="2" t="s">
        <v>41</v>
      </c>
      <c r="O60" s="2" t="s">
        <v>192</v>
      </c>
      <c r="P60" s="2" t="s">
        <v>193</v>
      </c>
      <c r="Q60" s="2" t="s">
        <v>194</v>
      </c>
      <c r="R60" s="2" t="s">
        <v>33</v>
      </c>
      <c r="S60" s="2" t="s">
        <v>186</v>
      </c>
      <c r="T60" s="2" t="s">
        <v>187</v>
      </c>
      <c r="U60" s="2">
        <v>7</v>
      </c>
      <c r="V60" s="2" t="s">
        <v>35</v>
      </c>
      <c r="W60" s="2" t="s">
        <v>195</v>
      </c>
      <c r="X60" s="2" t="s">
        <v>164</v>
      </c>
      <c r="Y60" s="2" t="s">
        <v>146</v>
      </c>
      <c r="Z60" s="2">
        <v>1.017</v>
      </c>
      <c r="AA60" s="2">
        <v>1.009</v>
      </c>
      <c r="AB60" s="2">
        <v>1.026</v>
      </c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</row>
    <row r="61" ht="13.85" spans="1:115">
      <c r="A61" s="2">
        <v>1129</v>
      </c>
      <c r="B61" s="2">
        <v>2</v>
      </c>
      <c r="C61" s="2"/>
      <c r="D61" s="2"/>
      <c r="E61" s="2"/>
      <c r="F61" s="2" t="s">
        <v>26</v>
      </c>
      <c r="G61" s="2" t="s">
        <v>196</v>
      </c>
      <c r="H61" s="2" t="s">
        <v>47</v>
      </c>
      <c r="I61" s="2" t="s">
        <v>48</v>
      </c>
      <c r="J61" s="2" t="s">
        <v>152</v>
      </c>
      <c r="K61" s="2" t="s">
        <v>50</v>
      </c>
      <c r="L61" s="2" t="s">
        <v>197</v>
      </c>
      <c r="M61" s="2" t="s">
        <v>101</v>
      </c>
      <c r="N61" s="2" t="s">
        <v>41</v>
      </c>
      <c r="O61" s="2" t="s">
        <v>192</v>
      </c>
      <c r="P61" s="2" t="s">
        <v>193</v>
      </c>
      <c r="Q61" s="2" t="s">
        <v>194</v>
      </c>
      <c r="R61" s="2" t="s">
        <v>33</v>
      </c>
      <c r="S61" s="2" t="s">
        <v>186</v>
      </c>
      <c r="T61" s="2" t="s">
        <v>187</v>
      </c>
      <c r="U61" s="2">
        <v>7</v>
      </c>
      <c r="V61" s="2" t="s">
        <v>35</v>
      </c>
      <c r="W61" s="2" t="s">
        <v>195</v>
      </c>
      <c r="X61" s="2" t="s">
        <v>164</v>
      </c>
      <c r="Y61" s="2" t="s">
        <v>146</v>
      </c>
      <c r="Z61" s="2">
        <v>1.002</v>
      </c>
      <c r="AA61" s="2">
        <v>0.974</v>
      </c>
      <c r="AB61" s="2">
        <v>1.031</v>
      </c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</row>
    <row r="62" ht="13.85" spans="1:115">
      <c r="A62" s="2">
        <v>1129</v>
      </c>
      <c r="B62" s="2">
        <v>3</v>
      </c>
      <c r="C62" s="2"/>
      <c r="D62" s="2"/>
      <c r="E62" s="2"/>
      <c r="F62" s="2" t="s">
        <v>26</v>
      </c>
      <c r="G62" s="2" t="s">
        <v>198</v>
      </c>
      <c r="H62" s="2" t="s">
        <v>47</v>
      </c>
      <c r="I62" s="2" t="s">
        <v>48</v>
      </c>
      <c r="J62" s="2" t="s">
        <v>199</v>
      </c>
      <c r="K62" s="2" t="s">
        <v>50</v>
      </c>
      <c r="L62" s="2" t="s">
        <v>200</v>
      </c>
      <c r="M62" s="2" t="s">
        <v>101</v>
      </c>
      <c r="N62" s="2" t="s">
        <v>41</v>
      </c>
      <c r="O62" s="2" t="s">
        <v>192</v>
      </c>
      <c r="P62" s="2" t="s">
        <v>193</v>
      </c>
      <c r="Q62" s="2" t="s">
        <v>194</v>
      </c>
      <c r="R62" s="2" t="s">
        <v>33</v>
      </c>
      <c r="S62" s="2" t="s">
        <v>186</v>
      </c>
      <c r="T62" s="2" t="s">
        <v>187</v>
      </c>
      <c r="U62" s="2">
        <v>7</v>
      </c>
      <c r="V62" s="2" t="s">
        <v>35</v>
      </c>
      <c r="W62" s="2" t="s">
        <v>195</v>
      </c>
      <c r="X62" s="2" t="s">
        <v>164</v>
      </c>
      <c r="Y62" s="2" t="s">
        <v>146</v>
      </c>
      <c r="Z62" s="2">
        <v>1.021</v>
      </c>
      <c r="AA62" s="2">
        <v>0.991</v>
      </c>
      <c r="AB62" s="2">
        <v>1.052</v>
      </c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</row>
    <row r="63" ht="13.9" spans="1:115">
      <c r="A63" s="2">
        <v>1132</v>
      </c>
      <c r="B63" s="2">
        <v>1</v>
      </c>
      <c r="C63" s="2"/>
      <c r="D63" s="2"/>
      <c r="E63" s="2"/>
      <c r="F63" s="2" t="s">
        <v>26</v>
      </c>
      <c r="G63" s="2" t="s">
        <v>201</v>
      </c>
      <c r="H63" s="2" t="s">
        <v>201</v>
      </c>
      <c r="I63" s="2" t="s">
        <v>28</v>
      </c>
      <c r="J63" s="2" t="s">
        <v>152</v>
      </c>
      <c r="K63" s="2" t="s">
        <v>30</v>
      </c>
      <c r="L63" s="2" t="s">
        <v>202</v>
      </c>
      <c r="M63" s="2" t="s">
        <v>101</v>
      </c>
      <c r="N63" s="2" t="s">
        <v>31</v>
      </c>
      <c r="O63" s="2" t="s">
        <v>203</v>
      </c>
      <c r="P63" s="2" t="s">
        <v>204</v>
      </c>
      <c r="Q63" s="2" t="s">
        <v>205</v>
      </c>
      <c r="R63" s="2" t="s">
        <v>33</v>
      </c>
      <c r="S63" s="2" t="s">
        <v>206</v>
      </c>
      <c r="T63" s="2" t="s">
        <v>113</v>
      </c>
      <c r="U63" s="2">
        <v>10.5</v>
      </c>
      <c r="V63" s="2" t="s">
        <v>35</v>
      </c>
      <c r="W63" s="2" t="s">
        <v>207</v>
      </c>
      <c r="X63" s="2" t="s">
        <v>164</v>
      </c>
      <c r="Y63" s="2" t="s">
        <v>38</v>
      </c>
      <c r="Z63" s="2">
        <v>0.349</v>
      </c>
      <c r="AA63" s="2">
        <v>0.244</v>
      </c>
      <c r="AB63" s="2">
        <v>0.5</v>
      </c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</row>
    <row r="64" ht="13.9" spans="1:115">
      <c r="A64" s="2">
        <v>1132</v>
      </c>
      <c r="B64" s="2">
        <v>2</v>
      </c>
      <c r="C64" s="2"/>
      <c r="D64" s="2"/>
      <c r="E64" s="2"/>
      <c r="F64" s="2" t="s">
        <v>26</v>
      </c>
      <c r="G64" s="2" t="s">
        <v>208</v>
      </c>
      <c r="H64" s="2" t="s">
        <v>208</v>
      </c>
      <c r="I64" s="2" t="s">
        <v>28</v>
      </c>
      <c r="J64" s="2" t="s">
        <v>29</v>
      </c>
      <c r="K64" s="2" t="s">
        <v>30</v>
      </c>
      <c r="L64" s="2" t="s">
        <v>209</v>
      </c>
      <c r="M64" s="2" t="s">
        <v>101</v>
      </c>
      <c r="N64" s="2" t="s">
        <v>31</v>
      </c>
      <c r="O64" s="2" t="s">
        <v>203</v>
      </c>
      <c r="P64" s="2" t="s">
        <v>204</v>
      </c>
      <c r="Q64" s="2" t="s">
        <v>205</v>
      </c>
      <c r="R64" s="2" t="s">
        <v>33</v>
      </c>
      <c r="S64" s="2" t="s">
        <v>206</v>
      </c>
      <c r="T64" s="2" t="s">
        <v>113</v>
      </c>
      <c r="U64" s="2">
        <v>10.5</v>
      </c>
      <c r="V64" s="2" t="s">
        <v>35</v>
      </c>
      <c r="W64" s="2" t="s">
        <v>207</v>
      </c>
      <c r="X64" s="2" t="s">
        <v>164</v>
      </c>
      <c r="Y64" s="2" t="s">
        <v>38</v>
      </c>
      <c r="Z64" s="2">
        <v>1.066</v>
      </c>
      <c r="AA64" s="2">
        <v>0.768</v>
      </c>
      <c r="AB64" s="2">
        <v>1.481</v>
      </c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</row>
    <row r="65" ht="13.85" spans="1:115">
      <c r="A65" s="2">
        <v>1142</v>
      </c>
      <c r="B65" s="2">
        <v>1</v>
      </c>
      <c r="C65" s="2" t="s">
        <v>210</v>
      </c>
      <c r="D65" s="2" t="s">
        <v>211</v>
      </c>
      <c r="E65" s="2"/>
      <c r="F65" s="2" t="s">
        <v>212</v>
      </c>
      <c r="G65" s="2" t="s">
        <v>213</v>
      </c>
      <c r="H65" s="2" t="s">
        <v>47</v>
      </c>
      <c r="I65" s="2" t="s">
        <v>48</v>
      </c>
      <c r="J65" s="2" t="s">
        <v>214</v>
      </c>
      <c r="K65" s="2" t="s">
        <v>50</v>
      </c>
      <c r="L65" s="2" t="s">
        <v>215</v>
      </c>
      <c r="M65" s="2" t="s">
        <v>101</v>
      </c>
      <c r="N65" s="2" t="s">
        <v>31</v>
      </c>
      <c r="O65" s="2" t="s">
        <v>216</v>
      </c>
      <c r="P65" s="2" t="s">
        <v>217</v>
      </c>
      <c r="Q65" s="2" t="s">
        <v>218</v>
      </c>
      <c r="R65" s="2" t="s">
        <v>33</v>
      </c>
      <c r="S65" s="2" t="s">
        <v>186</v>
      </c>
      <c r="T65" s="2" t="s">
        <v>219</v>
      </c>
      <c r="U65" s="2">
        <v>3</v>
      </c>
      <c r="V65" s="2" t="s">
        <v>35</v>
      </c>
      <c r="W65" s="2" t="s">
        <v>220</v>
      </c>
      <c r="X65" s="2" t="s">
        <v>221</v>
      </c>
      <c r="Y65" s="2" t="s">
        <v>38</v>
      </c>
      <c r="Z65" s="2">
        <v>1.0166</v>
      </c>
      <c r="AA65" s="2">
        <v>1.0042</v>
      </c>
      <c r="AB65" s="2">
        <v>1.0291</v>
      </c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</row>
    <row r="66" ht="13.85" spans="1:115">
      <c r="A66" s="2">
        <v>1142</v>
      </c>
      <c r="B66" s="2">
        <v>2</v>
      </c>
      <c r="C66" s="2"/>
      <c r="D66" s="2"/>
      <c r="E66" s="2"/>
      <c r="F66" s="2" t="s">
        <v>222</v>
      </c>
      <c r="G66" s="2" t="s">
        <v>213</v>
      </c>
      <c r="H66" s="2" t="s">
        <v>47</v>
      </c>
      <c r="I66" s="2" t="s">
        <v>48</v>
      </c>
      <c r="J66" s="2" t="s">
        <v>214</v>
      </c>
      <c r="K66" s="2" t="s">
        <v>50</v>
      </c>
      <c r="L66" s="2" t="s">
        <v>223</v>
      </c>
      <c r="M66" s="2" t="s">
        <v>101</v>
      </c>
      <c r="N66" s="2" t="s">
        <v>31</v>
      </c>
      <c r="O66" s="2" t="s">
        <v>216</v>
      </c>
      <c r="P66" s="2" t="s">
        <v>217</v>
      </c>
      <c r="Q66" s="2" t="s">
        <v>218</v>
      </c>
      <c r="R66" s="2" t="s">
        <v>33</v>
      </c>
      <c r="S66" s="2" t="s">
        <v>186</v>
      </c>
      <c r="T66" s="2" t="s">
        <v>219</v>
      </c>
      <c r="U66" s="2">
        <v>3</v>
      </c>
      <c r="V66" s="2" t="s">
        <v>35</v>
      </c>
      <c r="W66" s="2" t="s">
        <v>220</v>
      </c>
      <c r="X66" s="2" t="s">
        <v>221</v>
      </c>
      <c r="Y66" s="2" t="s">
        <v>38</v>
      </c>
      <c r="Z66" s="2">
        <v>1.0097</v>
      </c>
      <c r="AA66" s="2">
        <v>0.9991</v>
      </c>
      <c r="AB66" s="2">
        <v>1.0205</v>
      </c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</row>
    <row r="67" ht="13.85" spans="1:115">
      <c r="A67" s="2">
        <v>1142</v>
      </c>
      <c r="B67" s="2">
        <v>3</v>
      </c>
      <c r="C67" s="2"/>
      <c r="D67" s="2"/>
      <c r="E67" s="2"/>
      <c r="F67" s="2" t="s">
        <v>224</v>
      </c>
      <c r="G67" s="2" t="s">
        <v>213</v>
      </c>
      <c r="H67" s="2" t="s">
        <v>47</v>
      </c>
      <c r="I67" s="2" t="s">
        <v>48</v>
      </c>
      <c r="J67" s="2" t="s">
        <v>214</v>
      </c>
      <c r="K67" s="2" t="s">
        <v>50</v>
      </c>
      <c r="L67" s="2" t="s">
        <v>225</v>
      </c>
      <c r="M67" s="2" t="s">
        <v>101</v>
      </c>
      <c r="N67" s="2" t="s">
        <v>31</v>
      </c>
      <c r="O67" s="2" t="s">
        <v>216</v>
      </c>
      <c r="P67" s="2" t="s">
        <v>217</v>
      </c>
      <c r="Q67" s="2" t="s">
        <v>218</v>
      </c>
      <c r="R67" s="2" t="s">
        <v>33</v>
      </c>
      <c r="S67" s="2" t="s">
        <v>186</v>
      </c>
      <c r="T67" s="2" t="s">
        <v>219</v>
      </c>
      <c r="U67" s="2">
        <v>3</v>
      </c>
      <c r="V67" s="2" t="s">
        <v>35</v>
      </c>
      <c r="W67" s="2" t="s">
        <v>220</v>
      </c>
      <c r="X67" s="2" t="s">
        <v>221</v>
      </c>
      <c r="Y67" s="2" t="s">
        <v>38</v>
      </c>
      <c r="Z67" s="2">
        <v>1.0186</v>
      </c>
      <c r="AA67" s="2">
        <v>1.0047</v>
      </c>
      <c r="AB67" s="2">
        <v>1.0327</v>
      </c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</row>
    <row r="68" ht="13.85" spans="1:115">
      <c r="A68" s="2">
        <v>1145</v>
      </c>
      <c r="B68" s="2">
        <v>1</v>
      </c>
      <c r="C68" s="2"/>
      <c r="D68" s="2"/>
      <c r="E68" s="2"/>
      <c r="F68" s="2" t="s">
        <v>226</v>
      </c>
      <c r="G68" s="2" t="s">
        <v>100</v>
      </c>
      <c r="H68" s="2" t="s">
        <v>100</v>
      </c>
      <c r="I68" s="2" t="s">
        <v>28</v>
      </c>
      <c r="J68" s="2" t="s">
        <v>40</v>
      </c>
      <c r="K68" s="2" t="s">
        <v>50</v>
      </c>
      <c r="L68" s="2">
        <v>324664</v>
      </c>
      <c r="M68" s="2">
        <v>0.46</v>
      </c>
      <c r="N68" s="2" t="s">
        <v>41</v>
      </c>
      <c r="O68" s="2" t="s">
        <v>227</v>
      </c>
      <c r="P68" s="2" t="s">
        <v>228</v>
      </c>
      <c r="Q68" s="2" t="s">
        <v>229</v>
      </c>
      <c r="R68" s="2" t="s">
        <v>33</v>
      </c>
      <c r="S68" s="2" t="s">
        <v>230</v>
      </c>
      <c r="T68" s="2" t="s">
        <v>113</v>
      </c>
      <c r="U68" s="2">
        <v>10.5</v>
      </c>
      <c r="V68" s="2" t="s">
        <v>231</v>
      </c>
      <c r="W68" s="2" t="s">
        <v>37</v>
      </c>
      <c r="X68" s="2" t="s">
        <v>37</v>
      </c>
      <c r="Y68" s="2" t="s">
        <v>146</v>
      </c>
      <c r="Z68" s="2">
        <v>1.09</v>
      </c>
      <c r="AA68" s="2">
        <v>1.02</v>
      </c>
      <c r="AB68" s="2">
        <v>1.16</v>
      </c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</row>
    <row r="69" ht="13.85" spans="1:115">
      <c r="A69" s="2">
        <v>1145</v>
      </c>
      <c r="B69" s="2">
        <v>2</v>
      </c>
      <c r="C69" s="2"/>
      <c r="D69" s="2"/>
      <c r="E69" s="2"/>
      <c r="F69" s="2" t="s">
        <v>226</v>
      </c>
      <c r="G69" s="2" t="s">
        <v>100</v>
      </c>
      <c r="H69" s="2" t="s">
        <v>100</v>
      </c>
      <c r="I69" s="2" t="s">
        <v>28</v>
      </c>
      <c r="J69" s="2" t="s">
        <v>40</v>
      </c>
      <c r="K69" s="2" t="s">
        <v>50</v>
      </c>
      <c r="L69" s="2">
        <v>324664</v>
      </c>
      <c r="M69" s="2">
        <v>0.46</v>
      </c>
      <c r="N69" s="2" t="s">
        <v>41</v>
      </c>
      <c r="O69" s="2" t="s">
        <v>227</v>
      </c>
      <c r="P69" s="2" t="s">
        <v>232</v>
      </c>
      <c r="Q69" s="2" t="s">
        <v>229</v>
      </c>
      <c r="R69" s="2" t="s">
        <v>33</v>
      </c>
      <c r="S69" s="2" t="s">
        <v>230</v>
      </c>
      <c r="T69" s="2" t="s">
        <v>113</v>
      </c>
      <c r="U69" s="2">
        <v>10.5</v>
      </c>
      <c r="V69" s="2" t="s">
        <v>231</v>
      </c>
      <c r="W69" s="2" t="s">
        <v>37</v>
      </c>
      <c r="X69" s="2" t="s">
        <v>37</v>
      </c>
      <c r="Y69" s="2" t="s">
        <v>146</v>
      </c>
      <c r="Z69" s="2">
        <v>1</v>
      </c>
      <c r="AA69" s="2">
        <v>0.92</v>
      </c>
      <c r="AB69" s="2">
        <v>1.09</v>
      </c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</row>
    <row r="70" ht="13.85" spans="1:115">
      <c r="A70" s="2">
        <v>1145</v>
      </c>
      <c r="B70" s="2">
        <v>3</v>
      </c>
      <c r="C70" s="2"/>
      <c r="D70" s="2"/>
      <c r="E70" s="2"/>
      <c r="F70" s="2" t="s">
        <v>233</v>
      </c>
      <c r="G70" s="2" t="s">
        <v>100</v>
      </c>
      <c r="H70" s="2" t="s">
        <v>100</v>
      </c>
      <c r="I70" s="2" t="s">
        <v>28</v>
      </c>
      <c r="J70" s="2" t="s">
        <v>40</v>
      </c>
      <c r="K70" s="2" t="s">
        <v>50</v>
      </c>
      <c r="L70" s="2">
        <v>106707</v>
      </c>
      <c r="M70" s="2">
        <v>0.46</v>
      </c>
      <c r="N70" s="2" t="s">
        <v>41</v>
      </c>
      <c r="O70" s="2" t="s">
        <v>227</v>
      </c>
      <c r="P70" s="2" t="s">
        <v>234</v>
      </c>
      <c r="Q70" s="2" t="s">
        <v>229</v>
      </c>
      <c r="R70" s="2" t="s">
        <v>33</v>
      </c>
      <c r="S70" s="2" t="s">
        <v>230</v>
      </c>
      <c r="T70" s="2" t="s">
        <v>113</v>
      </c>
      <c r="U70" s="2">
        <v>10.5</v>
      </c>
      <c r="V70" s="2" t="s">
        <v>231</v>
      </c>
      <c r="W70" s="2" t="s">
        <v>37</v>
      </c>
      <c r="X70" s="2" t="s">
        <v>37</v>
      </c>
      <c r="Y70" s="2" t="s">
        <v>146</v>
      </c>
      <c r="Z70" s="2">
        <v>1.12</v>
      </c>
      <c r="AA70" s="2">
        <v>1.01</v>
      </c>
      <c r="AB70" s="2">
        <v>1.26</v>
      </c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</row>
    <row r="71" ht="13.85" spans="1:115">
      <c r="A71" s="2">
        <v>1145</v>
      </c>
      <c r="B71" s="2">
        <v>4</v>
      </c>
      <c r="C71" s="2"/>
      <c r="D71" s="2"/>
      <c r="E71" s="2"/>
      <c r="F71" s="2" t="s">
        <v>233</v>
      </c>
      <c r="G71" s="2" t="s">
        <v>100</v>
      </c>
      <c r="H71" s="2" t="s">
        <v>100</v>
      </c>
      <c r="I71" s="2" t="s">
        <v>28</v>
      </c>
      <c r="J71" s="2" t="s">
        <v>40</v>
      </c>
      <c r="K71" s="2" t="s">
        <v>50</v>
      </c>
      <c r="L71" s="2">
        <v>106707</v>
      </c>
      <c r="M71" s="2">
        <v>0.46</v>
      </c>
      <c r="N71" s="2" t="s">
        <v>41</v>
      </c>
      <c r="O71" s="2" t="s">
        <v>227</v>
      </c>
      <c r="P71" s="2" t="s">
        <v>235</v>
      </c>
      <c r="Q71" s="2" t="s">
        <v>229</v>
      </c>
      <c r="R71" s="2" t="s">
        <v>33</v>
      </c>
      <c r="S71" s="2" t="s">
        <v>230</v>
      </c>
      <c r="T71" s="2" t="s">
        <v>113</v>
      </c>
      <c r="U71" s="2">
        <v>10.5</v>
      </c>
      <c r="V71" s="2" t="s">
        <v>231</v>
      </c>
      <c r="W71" s="2" t="s">
        <v>37</v>
      </c>
      <c r="X71" s="2" t="s">
        <v>37</v>
      </c>
      <c r="Y71" s="2" t="s">
        <v>146</v>
      </c>
      <c r="Z71" s="2">
        <v>1.07</v>
      </c>
      <c r="AA71" s="2">
        <v>0.92</v>
      </c>
      <c r="AB71" s="2">
        <v>1.25</v>
      </c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</row>
    <row r="72" ht="13.85" spans="1:115">
      <c r="A72" s="2">
        <v>1150</v>
      </c>
      <c r="B72" s="2">
        <v>1</v>
      </c>
      <c r="C72" s="2" t="s">
        <v>236</v>
      </c>
      <c r="D72" s="2" t="s">
        <v>237</v>
      </c>
      <c r="E72" s="2"/>
      <c r="F72" s="2" t="s">
        <v>238</v>
      </c>
      <c r="G72" s="2" t="s">
        <v>117</v>
      </c>
      <c r="H72" s="2" t="s">
        <v>117</v>
      </c>
      <c r="I72" s="2" t="s">
        <v>28</v>
      </c>
      <c r="J72" s="2" t="s">
        <v>29</v>
      </c>
      <c r="K72" s="2" t="s">
        <v>50</v>
      </c>
      <c r="L72" s="2">
        <v>16606</v>
      </c>
      <c r="M72" s="2" t="s">
        <v>101</v>
      </c>
      <c r="N72" s="2" t="s">
        <v>31</v>
      </c>
      <c r="O72" s="2" t="s">
        <v>239</v>
      </c>
      <c r="P72" s="2" t="s">
        <v>240</v>
      </c>
      <c r="Q72" s="2" t="s">
        <v>229</v>
      </c>
      <c r="R72" s="2" t="s">
        <v>33</v>
      </c>
      <c r="S72" s="2" t="s">
        <v>241</v>
      </c>
      <c r="T72" s="2" t="s">
        <v>242</v>
      </c>
      <c r="U72" s="2">
        <v>1.5</v>
      </c>
      <c r="V72" s="2" t="s">
        <v>231</v>
      </c>
      <c r="W72" s="2" t="s">
        <v>243</v>
      </c>
      <c r="X72" s="2" t="s">
        <v>37</v>
      </c>
      <c r="Y72" s="2" t="s">
        <v>38</v>
      </c>
      <c r="Z72" s="2">
        <v>1.13</v>
      </c>
      <c r="AA72" s="2">
        <v>1.01</v>
      </c>
      <c r="AB72" s="2">
        <v>1.27</v>
      </c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</row>
    <row r="73" ht="13.85" spans="1:115">
      <c r="A73" s="2">
        <v>1157</v>
      </c>
      <c r="B73" s="2">
        <v>1</v>
      </c>
      <c r="C73" s="2"/>
      <c r="D73" s="2"/>
      <c r="E73" s="2"/>
      <c r="F73" s="2" t="s">
        <v>244</v>
      </c>
      <c r="G73" s="2" t="s">
        <v>245</v>
      </c>
      <c r="H73" s="2" t="s">
        <v>245</v>
      </c>
      <c r="I73" s="2" t="s">
        <v>28</v>
      </c>
      <c r="J73" s="2" t="s">
        <v>29</v>
      </c>
      <c r="K73" s="2" t="s">
        <v>50</v>
      </c>
      <c r="L73" s="2" t="s">
        <v>101</v>
      </c>
      <c r="M73" s="2" t="s">
        <v>101</v>
      </c>
      <c r="N73" s="2" t="s">
        <v>31</v>
      </c>
      <c r="O73" s="2" t="s">
        <v>246</v>
      </c>
      <c r="P73" s="2" t="s">
        <v>247</v>
      </c>
      <c r="Q73" s="2" t="s">
        <v>229</v>
      </c>
      <c r="R73" s="2" t="s">
        <v>33</v>
      </c>
      <c r="S73" s="2" t="s">
        <v>248</v>
      </c>
      <c r="T73" s="2" t="s">
        <v>120</v>
      </c>
      <c r="U73" s="2">
        <v>1.5</v>
      </c>
      <c r="V73" s="2" t="s">
        <v>231</v>
      </c>
      <c r="W73" s="2" t="s">
        <v>249</v>
      </c>
      <c r="X73" s="2" t="s">
        <v>37</v>
      </c>
      <c r="Y73" s="2" t="s">
        <v>38</v>
      </c>
      <c r="Z73" s="2">
        <v>1.009</v>
      </c>
      <c r="AA73" s="2">
        <v>0.989</v>
      </c>
      <c r="AB73" s="2">
        <v>1.028</v>
      </c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</row>
    <row r="74" ht="13.85" spans="1:115">
      <c r="A74" s="2">
        <v>1157</v>
      </c>
      <c r="B74" s="2">
        <v>2</v>
      </c>
      <c r="C74" s="2"/>
      <c r="D74" s="2"/>
      <c r="E74" s="2"/>
      <c r="F74" s="2" t="s">
        <v>250</v>
      </c>
      <c r="G74" s="2" t="s">
        <v>245</v>
      </c>
      <c r="H74" s="2" t="s">
        <v>245</v>
      </c>
      <c r="I74" s="2" t="s">
        <v>28</v>
      </c>
      <c r="J74" s="2" t="s">
        <v>29</v>
      </c>
      <c r="K74" s="2" t="s">
        <v>50</v>
      </c>
      <c r="L74" s="2" t="s">
        <v>101</v>
      </c>
      <c r="M74" s="2" t="s">
        <v>101</v>
      </c>
      <c r="N74" s="2" t="s">
        <v>31</v>
      </c>
      <c r="O74" s="2" t="s">
        <v>246</v>
      </c>
      <c r="P74" s="2" t="s">
        <v>247</v>
      </c>
      <c r="Q74" s="2" t="s">
        <v>229</v>
      </c>
      <c r="R74" s="2" t="s">
        <v>33</v>
      </c>
      <c r="S74" s="2" t="s">
        <v>248</v>
      </c>
      <c r="T74" s="2" t="s">
        <v>120</v>
      </c>
      <c r="U74" s="2">
        <v>1.5</v>
      </c>
      <c r="V74" s="2" t="s">
        <v>231</v>
      </c>
      <c r="W74" s="2" t="s">
        <v>249</v>
      </c>
      <c r="X74" s="2" t="s">
        <v>37</v>
      </c>
      <c r="Y74" s="2" t="s">
        <v>38</v>
      </c>
      <c r="Z74" s="2">
        <v>1.013</v>
      </c>
      <c r="AA74" s="2">
        <v>0.991</v>
      </c>
      <c r="AB74" s="2">
        <v>1.035</v>
      </c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</row>
    <row r="75" ht="13.85" spans="1:115">
      <c r="A75" s="2">
        <v>1159</v>
      </c>
      <c r="B75" s="2">
        <v>1</v>
      </c>
      <c r="C75" s="2"/>
      <c r="D75" s="2"/>
      <c r="E75" s="2"/>
      <c r="F75" s="2" t="s">
        <v>251</v>
      </c>
      <c r="G75" s="2" t="s">
        <v>245</v>
      </c>
      <c r="H75" s="2" t="s">
        <v>245</v>
      </c>
      <c r="I75" s="2" t="s">
        <v>28</v>
      </c>
      <c r="J75" s="2" t="s">
        <v>29</v>
      </c>
      <c r="K75" s="2" t="s">
        <v>50</v>
      </c>
      <c r="L75" s="2" t="s">
        <v>101</v>
      </c>
      <c r="M75" s="2" t="s">
        <v>101</v>
      </c>
      <c r="N75" s="2" t="s">
        <v>31</v>
      </c>
      <c r="O75" s="2" t="s">
        <v>252</v>
      </c>
      <c r="P75" s="2" t="s">
        <v>253</v>
      </c>
      <c r="Q75" s="2" t="s">
        <v>254</v>
      </c>
      <c r="R75" s="2" t="s">
        <v>33</v>
      </c>
      <c r="S75" s="2" t="s">
        <v>248</v>
      </c>
      <c r="T75" s="2" t="s">
        <v>113</v>
      </c>
      <c r="U75" s="2">
        <v>10.5</v>
      </c>
      <c r="V75" s="2" t="s">
        <v>35</v>
      </c>
      <c r="W75" s="2" t="s">
        <v>255</v>
      </c>
      <c r="X75" s="2" t="s">
        <v>221</v>
      </c>
      <c r="Y75" s="2" t="s">
        <v>38</v>
      </c>
      <c r="Z75" s="2">
        <v>1.0001</v>
      </c>
      <c r="AA75" s="2">
        <v>1</v>
      </c>
      <c r="AB75" s="2">
        <v>1.01</v>
      </c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</row>
    <row r="76" ht="13.85" spans="1:115">
      <c r="A76" s="2">
        <v>1159</v>
      </c>
      <c r="B76" s="2">
        <v>2</v>
      </c>
      <c r="C76" s="2"/>
      <c r="D76" s="2"/>
      <c r="E76" s="2"/>
      <c r="F76" s="2" t="s">
        <v>251</v>
      </c>
      <c r="G76" s="2" t="s">
        <v>245</v>
      </c>
      <c r="H76" s="2" t="s">
        <v>245</v>
      </c>
      <c r="I76" s="2" t="s">
        <v>28</v>
      </c>
      <c r="J76" s="2" t="s">
        <v>29</v>
      </c>
      <c r="K76" s="2" t="s">
        <v>50</v>
      </c>
      <c r="L76" s="2" t="s">
        <v>101</v>
      </c>
      <c r="M76" s="2" t="s">
        <v>101</v>
      </c>
      <c r="N76" s="2" t="s">
        <v>31</v>
      </c>
      <c r="O76" s="2" t="s">
        <v>252</v>
      </c>
      <c r="P76" s="2" t="s">
        <v>253</v>
      </c>
      <c r="Q76" s="2" t="s">
        <v>254</v>
      </c>
      <c r="R76" s="2" t="s">
        <v>33</v>
      </c>
      <c r="S76" s="2" t="s">
        <v>248</v>
      </c>
      <c r="T76" s="2" t="s">
        <v>113</v>
      </c>
      <c r="U76" s="2">
        <v>10.5</v>
      </c>
      <c r="V76" s="2" t="s">
        <v>35</v>
      </c>
      <c r="W76" s="2" t="s">
        <v>220</v>
      </c>
      <c r="X76" s="2" t="s">
        <v>221</v>
      </c>
      <c r="Y76" s="2" t="s">
        <v>38</v>
      </c>
      <c r="Z76" s="2">
        <v>1.01</v>
      </c>
      <c r="AA76" s="2">
        <v>0.99</v>
      </c>
      <c r="AB76" s="2">
        <v>1.04</v>
      </c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</row>
    <row r="77" ht="13.85" spans="1:115">
      <c r="A77" s="2">
        <v>1168</v>
      </c>
      <c r="B77" s="2">
        <v>1</v>
      </c>
      <c r="C77" s="2" t="s">
        <v>256</v>
      </c>
      <c r="D77" s="2" t="s">
        <v>257</v>
      </c>
      <c r="E77" s="2"/>
      <c r="F77" s="2" t="s">
        <v>251</v>
      </c>
      <c r="G77" s="2" t="s">
        <v>100</v>
      </c>
      <c r="H77" s="2" t="s">
        <v>100</v>
      </c>
      <c r="I77" s="2" t="s">
        <v>28</v>
      </c>
      <c r="J77" s="2" t="s">
        <v>40</v>
      </c>
      <c r="K77" s="2" t="s">
        <v>50</v>
      </c>
      <c r="L77" s="2">
        <v>474739</v>
      </c>
      <c r="M77" s="2" t="s">
        <v>101</v>
      </c>
      <c r="N77" s="2" t="s">
        <v>31</v>
      </c>
      <c r="O77" s="2" t="s">
        <v>258</v>
      </c>
      <c r="P77" s="2" t="s">
        <v>259</v>
      </c>
      <c r="Q77" s="2" t="s">
        <v>260</v>
      </c>
      <c r="R77" s="2" t="s">
        <v>33</v>
      </c>
      <c r="S77" s="2" t="s">
        <v>261</v>
      </c>
      <c r="T77" s="2" t="s">
        <v>101</v>
      </c>
      <c r="U77" s="2"/>
      <c r="V77" s="2" t="s">
        <v>101</v>
      </c>
      <c r="W77" s="2" t="s">
        <v>262</v>
      </c>
      <c r="X77" s="2" t="s">
        <v>221</v>
      </c>
      <c r="Y77" s="2" t="s">
        <v>38</v>
      </c>
      <c r="Z77" s="2">
        <v>4.29</v>
      </c>
      <c r="AA77" s="2">
        <v>3.625</v>
      </c>
      <c r="AB77" s="2">
        <v>5.076</v>
      </c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</row>
    <row r="78" ht="13.85" spans="1:115">
      <c r="A78" s="2">
        <v>1182</v>
      </c>
      <c r="B78" s="2">
        <v>1</v>
      </c>
      <c r="C78" s="2"/>
      <c r="D78" s="2"/>
      <c r="E78" s="2"/>
      <c r="F78" s="2" t="s">
        <v>238</v>
      </c>
      <c r="G78" s="2" t="s">
        <v>263</v>
      </c>
      <c r="H78" s="2" t="s">
        <v>263</v>
      </c>
      <c r="I78" s="2" t="s">
        <v>28</v>
      </c>
      <c r="J78" s="2" t="s">
        <v>29</v>
      </c>
      <c r="K78" s="2" t="s">
        <v>30</v>
      </c>
      <c r="L78" s="2" t="s">
        <v>264</v>
      </c>
      <c r="M78" s="2">
        <v>0.7577</v>
      </c>
      <c r="N78" s="2" t="s">
        <v>31</v>
      </c>
      <c r="O78" s="2" t="s">
        <v>265</v>
      </c>
      <c r="P78" s="2" t="s">
        <v>266</v>
      </c>
      <c r="Q78" s="2" t="s">
        <v>267</v>
      </c>
      <c r="R78" s="2" t="s">
        <v>33</v>
      </c>
      <c r="S78" s="2" t="s">
        <v>268</v>
      </c>
      <c r="T78" s="2">
        <v>0</v>
      </c>
      <c r="U78" s="2">
        <v>0</v>
      </c>
      <c r="V78" s="2" t="s">
        <v>269</v>
      </c>
      <c r="W78" s="2" t="s">
        <v>270</v>
      </c>
      <c r="X78" s="2" t="s">
        <v>221</v>
      </c>
      <c r="Y78" s="2" t="s">
        <v>38</v>
      </c>
      <c r="Z78" s="2">
        <v>0.964</v>
      </c>
      <c r="AA78" s="2">
        <v>0.868</v>
      </c>
      <c r="AB78" s="2">
        <v>1.071</v>
      </c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</row>
    <row r="79" ht="13.85" spans="1:115">
      <c r="A79" s="2">
        <v>1182</v>
      </c>
      <c r="B79" s="2">
        <v>2</v>
      </c>
      <c r="C79" s="2"/>
      <c r="D79" s="2"/>
      <c r="E79" s="2"/>
      <c r="F79" s="2" t="s">
        <v>238</v>
      </c>
      <c r="G79" s="2" t="s">
        <v>263</v>
      </c>
      <c r="H79" s="2" t="s">
        <v>263</v>
      </c>
      <c r="I79" s="2" t="s">
        <v>28</v>
      </c>
      <c r="J79" s="2" t="s">
        <v>29</v>
      </c>
      <c r="K79" s="2" t="s">
        <v>30</v>
      </c>
      <c r="L79" s="2" t="s">
        <v>264</v>
      </c>
      <c r="M79" s="2">
        <v>0.7577</v>
      </c>
      <c r="N79" s="2" t="s">
        <v>31</v>
      </c>
      <c r="O79" s="2" t="s">
        <v>265</v>
      </c>
      <c r="P79" s="2" t="s">
        <v>266</v>
      </c>
      <c r="Q79" s="2" t="s">
        <v>267</v>
      </c>
      <c r="R79" s="2" t="s">
        <v>33</v>
      </c>
      <c r="S79" s="2" t="s">
        <v>268</v>
      </c>
      <c r="T79" s="2">
        <v>1</v>
      </c>
      <c r="U79" s="2">
        <v>1</v>
      </c>
      <c r="V79" s="2" t="s">
        <v>269</v>
      </c>
      <c r="W79" s="2" t="s">
        <v>270</v>
      </c>
      <c r="X79" s="2" t="s">
        <v>221</v>
      </c>
      <c r="Y79" s="2" t="s">
        <v>38</v>
      </c>
      <c r="Z79" s="2">
        <v>0.986</v>
      </c>
      <c r="AA79" s="2">
        <v>0.943</v>
      </c>
      <c r="AB79" s="2">
        <v>1.03</v>
      </c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</row>
    <row r="80" ht="13.85" spans="1:115">
      <c r="A80" s="2">
        <v>1182</v>
      </c>
      <c r="B80" s="2">
        <v>3</v>
      </c>
      <c r="C80" s="2"/>
      <c r="D80" s="2"/>
      <c r="E80" s="2"/>
      <c r="F80" s="2" t="s">
        <v>238</v>
      </c>
      <c r="G80" s="2" t="s">
        <v>263</v>
      </c>
      <c r="H80" s="2" t="s">
        <v>263</v>
      </c>
      <c r="I80" s="2" t="s">
        <v>28</v>
      </c>
      <c r="J80" s="2" t="s">
        <v>29</v>
      </c>
      <c r="K80" s="2" t="s">
        <v>30</v>
      </c>
      <c r="L80" s="2" t="s">
        <v>264</v>
      </c>
      <c r="M80" s="2">
        <v>0.7577</v>
      </c>
      <c r="N80" s="2" t="s">
        <v>31</v>
      </c>
      <c r="O80" s="2" t="s">
        <v>265</v>
      </c>
      <c r="P80" s="2" t="s">
        <v>266</v>
      </c>
      <c r="Q80" s="2" t="s">
        <v>267</v>
      </c>
      <c r="R80" s="2" t="s">
        <v>33</v>
      </c>
      <c r="S80" s="2" t="s">
        <v>268</v>
      </c>
      <c r="T80" s="2">
        <v>2</v>
      </c>
      <c r="U80" s="2">
        <v>2</v>
      </c>
      <c r="V80" s="2" t="s">
        <v>269</v>
      </c>
      <c r="W80" s="2" t="s">
        <v>270</v>
      </c>
      <c r="X80" s="2" t="s">
        <v>221</v>
      </c>
      <c r="Y80" s="2" t="s">
        <v>38</v>
      </c>
      <c r="Z80" s="2">
        <v>1.006</v>
      </c>
      <c r="AA80" s="2">
        <v>0.956</v>
      </c>
      <c r="AB80" s="2">
        <v>1.058</v>
      </c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</row>
    <row r="81" ht="13.85" spans="1:115">
      <c r="A81" s="2">
        <v>1182</v>
      </c>
      <c r="B81" s="2">
        <v>4</v>
      </c>
      <c r="C81" s="2"/>
      <c r="D81" s="2"/>
      <c r="E81" s="2"/>
      <c r="F81" s="2" t="s">
        <v>238</v>
      </c>
      <c r="G81" s="2" t="s">
        <v>263</v>
      </c>
      <c r="H81" s="2" t="s">
        <v>263</v>
      </c>
      <c r="I81" s="2" t="s">
        <v>28</v>
      </c>
      <c r="J81" s="2" t="s">
        <v>29</v>
      </c>
      <c r="K81" s="2" t="s">
        <v>30</v>
      </c>
      <c r="L81" s="2" t="s">
        <v>264</v>
      </c>
      <c r="M81" s="2">
        <v>0.7577</v>
      </c>
      <c r="N81" s="2" t="s">
        <v>31</v>
      </c>
      <c r="O81" s="2" t="s">
        <v>265</v>
      </c>
      <c r="P81" s="2" t="s">
        <v>266</v>
      </c>
      <c r="Q81" s="2" t="s">
        <v>267</v>
      </c>
      <c r="R81" s="2" t="s">
        <v>33</v>
      </c>
      <c r="S81" s="2" t="s">
        <v>268</v>
      </c>
      <c r="T81" s="2">
        <v>3</v>
      </c>
      <c r="U81" s="2">
        <v>3</v>
      </c>
      <c r="V81" s="2" t="s">
        <v>269</v>
      </c>
      <c r="W81" s="2" t="s">
        <v>270</v>
      </c>
      <c r="X81" s="2" t="s">
        <v>221</v>
      </c>
      <c r="Y81" s="2" t="s">
        <v>38</v>
      </c>
      <c r="Z81" s="2">
        <v>1.021</v>
      </c>
      <c r="AA81" s="2">
        <v>0.99</v>
      </c>
      <c r="AB81" s="2">
        <v>1.052</v>
      </c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</row>
    <row r="82" ht="13.85" spans="1:115">
      <c r="A82" s="2">
        <v>1182</v>
      </c>
      <c r="B82" s="2">
        <v>5</v>
      </c>
      <c r="C82" s="2"/>
      <c r="D82" s="2"/>
      <c r="E82" s="2"/>
      <c r="F82" s="2" t="s">
        <v>238</v>
      </c>
      <c r="G82" s="2" t="s">
        <v>263</v>
      </c>
      <c r="H82" s="2" t="s">
        <v>263</v>
      </c>
      <c r="I82" s="2" t="s">
        <v>28</v>
      </c>
      <c r="J82" s="2" t="s">
        <v>29</v>
      </c>
      <c r="K82" s="2" t="s">
        <v>30</v>
      </c>
      <c r="L82" s="2" t="s">
        <v>264</v>
      </c>
      <c r="M82" s="2">
        <v>0.7577</v>
      </c>
      <c r="N82" s="2" t="s">
        <v>31</v>
      </c>
      <c r="O82" s="2" t="s">
        <v>265</v>
      </c>
      <c r="P82" s="2" t="s">
        <v>266</v>
      </c>
      <c r="Q82" s="2" t="s">
        <v>267</v>
      </c>
      <c r="R82" s="2" t="s">
        <v>33</v>
      </c>
      <c r="S82" s="2" t="s">
        <v>268</v>
      </c>
      <c r="T82" s="2">
        <v>4</v>
      </c>
      <c r="U82" s="2">
        <v>4</v>
      </c>
      <c r="V82" s="2" t="s">
        <v>269</v>
      </c>
      <c r="W82" s="2" t="s">
        <v>270</v>
      </c>
      <c r="X82" s="2" t="s">
        <v>221</v>
      </c>
      <c r="Y82" s="2" t="s">
        <v>38</v>
      </c>
      <c r="Z82" s="2">
        <v>1.027</v>
      </c>
      <c r="AA82" s="2">
        <v>0.997</v>
      </c>
      <c r="AB82" s="2">
        <v>1.057</v>
      </c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</row>
    <row r="83" ht="13.85" spans="1:115">
      <c r="A83" s="2">
        <v>1182</v>
      </c>
      <c r="B83" s="2">
        <v>6</v>
      </c>
      <c r="C83" s="2"/>
      <c r="D83" s="2"/>
      <c r="E83" s="2"/>
      <c r="F83" s="2" t="s">
        <v>238</v>
      </c>
      <c r="G83" s="2" t="s">
        <v>263</v>
      </c>
      <c r="H83" s="2" t="s">
        <v>263</v>
      </c>
      <c r="I83" s="2" t="s">
        <v>28</v>
      </c>
      <c r="J83" s="2" t="s">
        <v>29</v>
      </c>
      <c r="K83" s="2" t="s">
        <v>30</v>
      </c>
      <c r="L83" s="2" t="s">
        <v>264</v>
      </c>
      <c r="M83" s="2">
        <v>0.7577</v>
      </c>
      <c r="N83" s="2" t="s">
        <v>31</v>
      </c>
      <c r="O83" s="2" t="s">
        <v>265</v>
      </c>
      <c r="P83" s="2" t="s">
        <v>266</v>
      </c>
      <c r="Q83" s="2" t="s">
        <v>267</v>
      </c>
      <c r="R83" s="2" t="s">
        <v>33</v>
      </c>
      <c r="S83" s="2" t="s">
        <v>268</v>
      </c>
      <c r="T83" s="2">
        <v>5</v>
      </c>
      <c r="U83" s="2">
        <v>5</v>
      </c>
      <c r="V83" s="2" t="s">
        <v>269</v>
      </c>
      <c r="W83" s="2" t="s">
        <v>270</v>
      </c>
      <c r="X83" s="2" t="s">
        <v>221</v>
      </c>
      <c r="Y83" s="2" t="s">
        <v>38</v>
      </c>
      <c r="Z83" s="2">
        <v>1.025</v>
      </c>
      <c r="AA83" s="2">
        <v>0.995</v>
      </c>
      <c r="AB83" s="2">
        <v>1.056</v>
      </c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</row>
    <row r="84" ht="13.85" spans="1:115">
      <c r="A84" s="2">
        <v>1182</v>
      </c>
      <c r="B84" s="2">
        <v>7</v>
      </c>
      <c r="C84" s="2"/>
      <c r="D84" s="2"/>
      <c r="E84" s="2"/>
      <c r="F84" s="2" t="s">
        <v>238</v>
      </c>
      <c r="G84" s="2" t="s">
        <v>263</v>
      </c>
      <c r="H84" s="2" t="s">
        <v>263</v>
      </c>
      <c r="I84" s="2" t="s">
        <v>28</v>
      </c>
      <c r="J84" s="2" t="s">
        <v>29</v>
      </c>
      <c r="K84" s="2" t="s">
        <v>30</v>
      </c>
      <c r="L84" s="2" t="s">
        <v>264</v>
      </c>
      <c r="M84" s="2">
        <v>0.7577</v>
      </c>
      <c r="N84" s="2" t="s">
        <v>31</v>
      </c>
      <c r="O84" s="2" t="s">
        <v>265</v>
      </c>
      <c r="P84" s="2" t="s">
        <v>266</v>
      </c>
      <c r="Q84" s="2" t="s">
        <v>267</v>
      </c>
      <c r="R84" s="2" t="s">
        <v>33</v>
      </c>
      <c r="S84" s="2" t="s">
        <v>268</v>
      </c>
      <c r="T84" s="2">
        <v>6</v>
      </c>
      <c r="U84" s="2">
        <v>6</v>
      </c>
      <c r="V84" s="2" t="s">
        <v>269</v>
      </c>
      <c r="W84" s="2" t="s">
        <v>270</v>
      </c>
      <c r="X84" s="2" t="s">
        <v>221</v>
      </c>
      <c r="Y84" s="2" t="s">
        <v>38</v>
      </c>
      <c r="Z84" s="2">
        <v>1.019</v>
      </c>
      <c r="AA84" s="2">
        <v>0.993</v>
      </c>
      <c r="AB84" s="2">
        <v>1.046</v>
      </c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</row>
    <row r="85" ht="13.85" spans="1:115">
      <c r="A85" s="2">
        <v>1182</v>
      </c>
      <c r="B85" s="2">
        <v>8</v>
      </c>
      <c r="C85" s="2"/>
      <c r="D85" s="2"/>
      <c r="E85" s="2"/>
      <c r="F85" s="2" t="s">
        <v>238</v>
      </c>
      <c r="G85" s="2" t="s">
        <v>263</v>
      </c>
      <c r="H85" s="2" t="s">
        <v>263</v>
      </c>
      <c r="I85" s="2" t="s">
        <v>28</v>
      </c>
      <c r="J85" s="2" t="s">
        <v>29</v>
      </c>
      <c r="K85" s="2" t="s">
        <v>30</v>
      </c>
      <c r="L85" s="2" t="s">
        <v>264</v>
      </c>
      <c r="M85" s="2">
        <v>0.7577</v>
      </c>
      <c r="N85" s="2" t="s">
        <v>31</v>
      </c>
      <c r="O85" s="2" t="s">
        <v>265</v>
      </c>
      <c r="P85" s="2" t="s">
        <v>266</v>
      </c>
      <c r="Q85" s="2" t="s">
        <v>267</v>
      </c>
      <c r="R85" s="2" t="s">
        <v>33</v>
      </c>
      <c r="S85" s="2" t="s">
        <v>268</v>
      </c>
      <c r="T85" s="2">
        <v>7</v>
      </c>
      <c r="U85" s="2">
        <v>7</v>
      </c>
      <c r="V85" s="2" t="s">
        <v>269</v>
      </c>
      <c r="W85" s="2" t="s">
        <v>270</v>
      </c>
      <c r="X85" s="2" t="s">
        <v>221</v>
      </c>
      <c r="Y85" s="2" t="s">
        <v>38</v>
      </c>
      <c r="Z85" s="2">
        <v>1.011</v>
      </c>
      <c r="AA85" s="2">
        <v>0.991</v>
      </c>
      <c r="AB85" s="2">
        <v>1.031</v>
      </c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</row>
    <row r="86" ht="13.85" spans="1:115">
      <c r="A86" s="2">
        <v>1182</v>
      </c>
      <c r="B86" s="2">
        <v>9</v>
      </c>
      <c r="C86" s="2"/>
      <c r="D86" s="2"/>
      <c r="E86" s="2"/>
      <c r="F86" s="2" t="s">
        <v>238</v>
      </c>
      <c r="G86" s="2" t="s">
        <v>263</v>
      </c>
      <c r="H86" s="2" t="s">
        <v>263</v>
      </c>
      <c r="I86" s="2" t="s">
        <v>28</v>
      </c>
      <c r="J86" s="2" t="s">
        <v>29</v>
      </c>
      <c r="K86" s="2" t="s">
        <v>30</v>
      </c>
      <c r="L86" s="2" t="s">
        <v>264</v>
      </c>
      <c r="M86" s="2">
        <v>0.7577</v>
      </c>
      <c r="N86" s="2" t="s">
        <v>31</v>
      </c>
      <c r="O86" s="2" t="s">
        <v>265</v>
      </c>
      <c r="P86" s="2" t="s">
        <v>266</v>
      </c>
      <c r="Q86" s="2" t="s">
        <v>267</v>
      </c>
      <c r="R86" s="2" t="s">
        <v>33</v>
      </c>
      <c r="S86" s="2" t="s">
        <v>268</v>
      </c>
      <c r="T86" s="2">
        <v>8</v>
      </c>
      <c r="U86" s="2">
        <v>8</v>
      </c>
      <c r="V86" s="2" t="s">
        <v>269</v>
      </c>
      <c r="W86" s="2" t="s">
        <v>270</v>
      </c>
      <c r="X86" s="2" t="s">
        <v>221</v>
      </c>
      <c r="Y86" s="2" t="s">
        <v>38</v>
      </c>
      <c r="Z86" s="2">
        <v>1.003</v>
      </c>
      <c r="AA86" s="2">
        <v>0.988</v>
      </c>
      <c r="AB86" s="2">
        <v>1.018</v>
      </c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</row>
    <row r="87" ht="13.85" spans="1:115">
      <c r="A87" s="2">
        <v>1182</v>
      </c>
      <c r="B87" s="2">
        <v>10</v>
      </c>
      <c r="C87" s="2"/>
      <c r="D87" s="2"/>
      <c r="E87" s="2"/>
      <c r="F87" s="2" t="s">
        <v>238</v>
      </c>
      <c r="G87" s="2" t="s">
        <v>263</v>
      </c>
      <c r="H87" s="2" t="s">
        <v>263</v>
      </c>
      <c r="I87" s="2" t="s">
        <v>28</v>
      </c>
      <c r="J87" s="2" t="s">
        <v>29</v>
      </c>
      <c r="K87" s="2" t="s">
        <v>30</v>
      </c>
      <c r="L87" s="2" t="s">
        <v>264</v>
      </c>
      <c r="M87" s="2">
        <v>0.7577</v>
      </c>
      <c r="N87" s="2" t="s">
        <v>31</v>
      </c>
      <c r="O87" s="2" t="s">
        <v>265</v>
      </c>
      <c r="P87" s="2" t="s">
        <v>266</v>
      </c>
      <c r="Q87" s="2" t="s">
        <v>267</v>
      </c>
      <c r="R87" s="2" t="s">
        <v>33</v>
      </c>
      <c r="S87" s="2" t="s">
        <v>268</v>
      </c>
      <c r="T87" s="2">
        <v>9</v>
      </c>
      <c r="U87" s="2">
        <v>9</v>
      </c>
      <c r="V87" s="2" t="s">
        <v>269</v>
      </c>
      <c r="W87" s="2" t="s">
        <v>270</v>
      </c>
      <c r="X87" s="2" t="s">
        <v>221</v>
      </c>
      <c r="Y87" s="2" t="s">
        <v>38</v>
      </c>
      <c r="Z87" s="2">
        <v>0.996</v>
      </c>
      <c r="AA87" s="2">
        <v>0.982</v>
      </c>
      <c r="AB87" s="2">
        <v>1.01</v>
      </c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</row>
    <row r="88" ht="13.85" spans="1:115">
      <c r="A88" s="2">
        <v>1182</v>
      </c>
      <c r="B88" s="2">
        <v>11</v>
      </c>
      <c r="C88" s="2"/>
      <c r="D88" s="2"/>
      <c r="E88" s="2"/>
      <c r="F88" s="2" t="s">
        <v>238</v>
      </c>
      <c r="G88" s="2" t="s">
        <v>263</v>
      </c>
      <c r="H88" s="2" t="s">
        <v>263</v>
      </c>
      <c r="I88" s="2" t="s">
        <v>28</v>
      </c>
      <c r="J88" s="2" t="s">
        <v>29</v>
      </c>
      <c r="K88" s="2" t="s">
        <v>30</v>
      </c>
      <c r="L88" s="2" t="s">
        <v>264</v>
      </c>
      <c r="M88" s="2">
        <v>0.7577</v>
      </c>
      <c r="N88" s="2" t="s">
        <v>31</v>
      </c>
      <c r="O88" s="2" t="s">
        <v>265</v>
      </c>
      <c r="P88" s="2" t="s">
        <v>266</v>
      </c>
      <c r="Q88" s="2" t="s">
        <v>267</v>
      </c>
      <c r="R88" s="2" t="s">
        <v>33</v>
      </c>
      <c r="S88" s="2" t="s">
        <v>268</v>
      </c>
      <c r="T88" s="2">
        <v>10</v>
      </c>
      <c r="U88" s="2">
        <v>10</v>
      </c>
      <c r="V88" s="2" t="s">
        <v>269</v>
      </c>
      <c r="W88" s="2" t="s">
        <v>270</v>
      </c>
      <c r="X88" s="2" t="s">
        <v>221</v>
      </c>
      <c r="Y88" s="2" t="s">
        <v>38</v>
      </c>
      <c r="Z88" s="2">
        <v>0.991</v>
      </c>
      <c r="AA88" s="2">
        <v>0.975</v>
      </c>
      <c r="AB88" s="2">
        <v>1.006</v>
      </c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</row>
    <row r="89" ht="13.85" spans="1:115">
      <c r="A89" s="2">
        <v>1182</v>
      </c>
      <c r="B89" s="2">
        <v>12</v>
      </c>
      <c r="C89" s="2"/>
      <c r="D89" s="2"/>
      <c r="E89" s="2"/>
      <c r="F89" s="2" t="s">
        <v>238</v>
      </c>
      <c r="G89" s="2" t="s">
        <v>263</v>
      </c>
      <c r="H89" s="2" t="s">
        <v>263</v>
      </c>
      <c r="I89" s="2" t="s">
        <v>28</v>
      </c>
      <c r="J89" s="2" t="s">
        <v>29</v>
      </c>
      <c r="K89" s="2" t="s">
        <v>30</v>
      </c>
      <c r="L89" s="2" t="s">
        <v>264</v>
      </c>
      <c r="M89" s="2">
        <v>0.7577</v>
      </c>
      <c r="N89" s="2" t="s">
        <v>31</v>
      </c>
      <c r="O89" s="2" t="s">
        <v>265</v>
      </c>
      <c r="P89" s="2" t="s">
        <v>266</v>
      </c>
      <c r="Q89" s="2" t="s">
        <v>267</v>
      </c>
      <c r="R89" s="2" t="s">
        <v>33</v>
      </c>
      <c r="S89" s="2" t="s">
        <v>268</v>
      </c>
      <c r="T89" s="2">
        <v>11</v>
      </c>
      <c r="U89" s="2">
        <v>11</v>
      </c>
      <c r="V89" s="2" t="s">
        <v>269</v>
      </c>
      <c r="W89" s="2" t="s">
        <v>270</v>
      </c>
      <c r="X89" s="2" t="s">
        <v>221</v>
      </c>
      <c r="Y89" s="2" t="s">
        <v>38</v>
      </c>
      <c r="Z89" s="2">
        <v>0.987</v>
      </c>
      <c r="AA89" s="2">
        <v>0.97</v>
      </c>
      <c r="AB89" s="2">
        <v>1.004</v>
      </c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</row>
    <row r="90" ht="13.85" spans="1:115">
      <c r="A90" s="2">
        <v>1182</v>
      </c>
      <c r="B90" s="2">
        <v>13</v>
      </c>
      <c r="C90" s="2"/>
      <c r="D90" s="2"/>
      <c r="E90" s="2"/>
      <c r="F90" s="2" t="s">
        <v>238</v>
      </c>
      <c r="G90" s="2" t="s">
        <v>263</v>
      </c>
      <c r="H90" s="2" t="s">
        <v>263</v>
      </c>
      <c r="I90" s="2" t="s">
        <v>28</v>
      </c>
      <c r="J90" s="2" t="s">
        <v>29</v>
      </c>
      <c r="K90" s="2" t="s">
        <v>30</v>
      </c>
      <c r="L90" s="2" t="s">
        <v>264</v>
      </c>
      <c r="M90" s="2">
        <v>0.7577</v>
      </c>
      <c r="N90" s="2" t="s">
        <v>31</v>
      </c>
      <c r="O90" s="2" t="s">
        <v>265</v>
      </c>
      <c r="P90" s="2" t="s">
        <v>266</v>
      </c>
      <c r="Q90" s="2" t="s">
        <v>267</v>
      </c>
      <c r="R90" s="2" t="s">
        <v>33</v>
      </c>
      <c r="S90" s="2" t="s">
        <v>268</v>
      </c>
      <c r="T90" s="2">
        <v>12</v>
      </c>
      <c r="U90" s="2">
        <v>12</v>
      </c>
      <c r="V90" s="2" t="s">
        <v>269</v>
      </c>
      <c r="W90" s="2" t="s">
        <v>270</v>
      </c>
      <c r="X90" s="2" t="s">
        <v>221</v>
      </c>
      <c r="Y90" s="2" t="s">
        <v>38</v>
      </c>
      <c r="Z90" s="2">
        <v>0.984</v>
      </c>
      <c r="AA90" s="2">
        <v>0.967</v>
      </c>
      <c r="AB90" s="2">
        <v>1.001</v>
      </c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</row>
    <row r="91" ht="13.85" spans="1:115">
      <c r="A91" s="2">
        <v>1182</v>
      </c>
      <c r="B91" s="2">
        <v>14</v>
      </c>
      <c r="C91" s="2"/>
      <c r="D91" s="2"/>
      <c r="E91" s="2"/>
      <c r="F91" s="2" t="s">
        <v>238</v>
      </c>
      <c r="G91" s="2" t="s">
        <v>263</v>
      </c>
      <c r="H91" s="2" t="s">
        <v>263</v>
      </c>
      <c r="I91" s="2" t="s">
        <v>28</v>
      </c>
      <c r="J91" s="2" t="s">
        <v>29</v>
      </c>
      <c r="K91" s="2" t="s">
        <v>30</v>
      </c>
      <c r="L91" s="2" t="s">
        <v>264</v>
      </c>
      <c r="M91" s="2">
        <v>0.7577</v>
      </c>
      <c r="N91" s="2" t="s">
        <v>31</v>
      </c>
      <c r="O91" s="2" t="s">
        <v>265</v>
      </c>
      <c r="P91" s="2" t="s">
        <v>266</v>
      </c>
      <c r="Q91" s="2" t="s">
        <v>267</v>
      </c>
      <c r="R91" s="2" t="s">
        <v>33</v>
      </c>
      <c r="S91" s="2" t="s">
        <v>268</v>
      </c>
      <c r="T91" s="2">
        <v>13</v>
      </c>
      <c r="U91" s="2">
        <v>13</v>
      </c>
      <c r="V91" s="2" t="s">
        <v>269</v>
      </c>
      <c r="W91" s="2" t="s">
        <v>270</v>
      </c>
      <c r="X91" s="2" t="s">
        <v>221</v>
      </c>
      <c r="Y91" s="2" t="s">
        <v>38</v>
      </c>
      <c r="Z91" s="2">
        <v>0.982</v>
      </c>
      <c r="AA91" s="2">
        <v>0.966</v>
      </c>
      <c r="AB91" s="2">
        <v>0.999</v>
      </c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</row>
    <row r="92" ht="13.85" spans="1:115">
      <c r="A92" s="2">
        <v>1182</v>
      </c>
      <c r="B92" s="2">
        <v>15</v>
      </c>
      <c r="C92" s="2"/>
      <c r="D92" s="2"/>
      <c r="E92" s="2"/>
      <c r="F92" s="2" t="s">
        <v>238</v>
      </c>
      <c r="G92" s="2" t="s">
        <v>263</v>
      </c>
      <c r="H92" s="2" t="s">
        <v>263</v>
      </c>
      <c r="I92" s="2" t="s">
        <v>28</v>
      </c>
      <c r="J92" s="2" t="s">
        <v>29</v>
      </c>
      <c r="K92" s="2" t="s">
        <v>30</v>
      </c>
      <c r="L92" s="2" t="s">
        <v>264</v>
      </c>
      <c r="M92" s="2">
        <v>0.7577</v>
      </c>
      <c r="N92" s="2" t="s">
        <v>31</v>
      </c>
      <c r="O92" s="2" t="s">
        <v>265</v>
      </c>
      <c r="P92" s="2" t="s">
        <v>266</v>
      </c>
      <c r="Q92" s="2" t="s">
        <v>267</v>
      </c>
      <c r="R92" s="2" t="s">
        <v>33</v>
      </c>
      <c r="S92" s="2" t="s">
        <v>268</v>
      </c>
      <c r="T92" s="2">
        <v>14</v>
      </c>
      <c r="U92" s="2">
        <v>14</v>
      </c>
      <c r="V92" s="2" t="s">
        <v>269</v>
      </c>
      <c r="W92" s="2" t="s">
        <v>270</v>
      </c>
      <c r="X92" s="2" t="s">
        <v>221</v>
      </c>
      <c r="Y92" s="2" t="s">
        <v>38</v>
      </c>
      <c r="Z92" s="2">
        <v>0.982</v>
      </c>
      <c r="AA92" s="2">
        <v>0.967</v>
      </c>
      <c r="AB92" s="2">
        <v>0.997</v>
      </c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</row>
    <row r="93" ht="13.85" spans="1:115">
      <c r="A93" s="2">
        <v>1182</v>
      </c>
      <c r="B93" s="2">
        <v>16</v>
      </c>
      <c r="C93" s="2"/>
      <c r="D93" s="2"/>
      <c r="E93" s="2"/>
      <c r="F93" s="2" t="s">
        <v>238</v>
      </c>
      <c r="G93" s="2" t="s">
        <v>263</v>
      </c>
      <c r="H93" s="2" t="s">
        <v>263</v>
      </c>
      <c r="I93" s="2" t="s">
        <v>28</v>
      </c>
      <c r="J93" s="2" t="s">
        <v>29</v>
      </c>
      <c r="K93" s="2" t="s">
        <v>30</v>
      </c>
      <c r="L93" s="2" t="s">
        <v>264</v>
      </c>
      <c r="M93" s="2">
        <v>0.7577</v>
      </c>
      <c r="N93" s="2" t="s">
        <v>31</v>
      </c>
      <c r="O93" s="2" t="s">
        <v>265</v>
      </c>
      <c r="P93" s="2" t="s">
        <v>266</v>
      </c>
      <c r="Q93" s="2" t="s">
        <v>267</v>
      </c>
      <c r="R93" s="2" t="s">
        <v>33</v>
      </c>
      <c r="S93" s="2" t="s">
        <v>268</v>
      </c>
      <c r="T93" s="2">
        <v>15</v>
      </c>
      <c r="U93" s="2">
        <v>15</v>
      </c>
      <c r="V93" s="2" t="s">
        <v>269</v>
      </c>
      <c r="W93" s="2" t="s">
        <v>270</v>
      </c>
      <c r="X93" s="2" t="s">
        <v>221</v>
      </c>
      <c r="Y93" s="2" t="s">
        <v>38</v>
      </c>
      <c r="Z93" s="2">
        <v>0.982</v>
      </c>
      <c r="AA93" s="2">
        <v>0.969</v>
      </c>
      <c r="AB93" s="2">
        <v>0.995</v>
      </c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</row>
    <row r="94" ht="13.85" spans="1:115">
      <c r="A94" s="2">
        <v>1182</v>
      </c>
      <c r="B94" s="2">
        <v>17</v>
      </c>
      <c r="C94" s="2"/>
      <c r="D94" s="2"/>
      <c r="E94" s="2"/>
      <c r="F94" s="2" t="s">
        <v>238</v>
      </c>
      <c r="G94" s="2" t="s">
        <v>263</v>
      </c>
      <c r="H94" s="2" t="s">
        <v>263</v>
      </c>
      <c r="I94" s="2" t="s">
        <v>28</v>
      </c>
      <c r="J94" s="2" t="s">
        <v>29</v>
      </c>
      <c r="K94" s="2" t="s">
        <v>30</v>
      </c>
      <c r="L94" s="2" t="s">
        <v>264</v>
      </c>
      <c r="M94" s="2">
        <v>0.7577</v>
      </c>
      <c r="N94" s="2" t="s">
        <v>31</v>
      </c>
      <c r="O94" s="2" t="s">
        <v>265</v>
      </c>
      <c r="P94" s="2" t="s">
        <v>266</v>
      </c>
      <c r="Q94" s="2" t="s">
        <v>267</v>
      </c>
      <c r="R94" s="2" t="s">
        <v>33</v>
      </c>
      <c r="S94" s="2" t="s">
        <v>268</v>
      </c>
      <c r="T94" s="2">
        <v>16</v>
      </c>
      <c r="U94" s="2">
        <v>16</v>
      </c>
      <c r="V94" s="2" t="s">
        <v>269</v>
      </c>
      <c r="W94" s="2" t="s">
        <v>270</v>
      </c>
      <c r="X94" s="2" t="s">
        <v>221</v>
      </c>
      <c r="Y94" s="2" t="s">
        <v>38</v>
      </c>
      <c r="Z94" s="2">
        <v>0.983</v>
      </c>
      <c r="AA94" s="2">
        <v>0.971</v>
      </c>
      <c r="AB94" s="2">
        <v>0.994</v>
      </c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</row>
    <row r="95" ht="13.85" spans="1:115">
      <c r="A95" s="2">
        <v>1182</v>
      </c>
      <c r="B95" s="2">
        <v>18</v>
      </c>
      <c r="C95" s="2"/>
      <c r="D95" s="2"/>
      <c r="E95" s="2"/>
      <c r="F95" s="2" t="s">
        <v>238</v>
      </c>
      <c r="G95" s="2" t="s">
        <v>263</v>
      </c>
      <c r="H95" s="2" t="s">
        <v>263</v>
      </c>
      <c r="I95" s="2" t="s">
        <v>28</v>
      </c>
      <c r="J95" s="2" t="s">
        <v>29</v>
      </c>
      <c r="K95" s="2" t="s">
        <v>30</v>
      </c>
      <c r="L95" s="2" t="s">
        <v>264</v>
      </c>
      <c r="M95" s="2">
        <v>0.7577</v>
      </c>
      <c r="N95" s="2" t="s">
        <v>31</v>
      </c>
      <c r="O95" s="2" t="s">
        <v>265</v>
      </c>
      <c r="P95" s="2" t="s">
        <v>266</v>
      </c>
      <c r="Q95" s="2" t="s">
        <v>267</v>
      </c>
      <c r="R95" s="2" t="s">
        <v>33</v>
      </c>
      <c r="S95" s="2" t="s">
        <v>268</v>
      </c>
      <c r="T95" s="2">
        <v>17</v>
      </c>
      <c r="U95" s="2">
        <v>17</v>
      </c>
      <c r="V95" s="2" t="s">
        <v>269</v>
      </c>
      <c r="W95" s="2" t="s">
        <v>270</v>
      </c>
      <c r="X95" s="2" t="s">
        <v>221</v>
      </c>
      <c r="Y95" s="2" t="s">
        <v>38</v>
      </c>
      <c r="Z95" s="2">
        <v>0.984</v>
      </c>
      <c r="AA95" s="2">
        <v>0.972</v>
      </c>
      <c r="AB95" s="2">
        <v>0.996</v>
      </c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</row>
    <row r="96" ht="13.85" spans="1:115">
      <c r="A96" s="2">
        <v>1182</v>
      </c>
      <c r="B96" s="2">
        <v>19</v>
      </c>
      <c r="C96" s="2"/>
      <c r="D96" s="2"/>
      <c r="E96" s="2"/>
      <c r="F96" s="2" t="s">
        <v>238</v>
      </c>
      <c r="G96" s="2" t="s">
        <v>263</v>
      </c>
      <c r="H96" s="2" t="s">
        <v>263</v>
      </c>
      <c r="I96" s="2" t="s">
        <v>28</v>
      </c>
      <c r="J96" s="2" t="s">
        <v>29</v>
      </c>
      <c r="K96" s="2" t="s">
        <v>30</v>
      </c>
      <c r="L96" s="2" t="s">
        <v>264</v>
      </c>
      <c r="M96" s="2">
        <v>0.7577</v>
      </c>
      <c r="N96" s="2" t="s">
        <v>31</v>
      </c>
      <c r="O96" s="2" t="s">
        <v>265</v>
      </c>
      <c r="P96" s="2" t="s">
        <v>266</v>
      </c>
      <c r="Q96" s="2" t="s">
        <v>267</v>
      </c>
      <c r="R96" s="2" t="s">
        <v>33</v>
      </c>
      <c r="S96" s="2" t="s">
        <v>268</v>
      </c>
      <c r="T96" s="2">
        <v>18</v>
      </c>
      <c r="U96" s="2">
        <v>18</v>
      </c>
      <c r="V96" s="2" t="s">
        <v>269</v>
      </c>
      <c r="W96" s="2" t="s">
        <v>270</v>
      </c>
      <c r="X96" s="2" t="s">
        <v>221</v>
      </c>
      <c r="Y96" s="2" t="s">
        <v>38</v>
      </c>
      <c r="Z96" s="2">
        <v>0.986</v>
      </c>
      <c r="AA96" s="2">
        <v>0.972</v>
      </c>
      <c r="AB96" s="2">
        <v>1.001</v>
      </c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</row>
    <row r="97" ht="13.85" spans="1:115">
      <c r="A97" s="2">
        <v>1185</v>
      </c>
      <c r="B97" s="2">
        <v>1</v>
      </c>
      <c r="C97" s="2"/>
      <c r="D97" s="2"/>
      <c r="E97" s="2"/>
      <c r="F97" s="2" t="s">
        <v>271</v>
      </c>
      <c r="G97" s="2" t="s">
        <v>272</v>
      </c>
      <c r="H97" s="2" t="s">
        <v>272</v>
      </c>
      <c r="I97" s="2" t="s">
        <v>28</v>
      </c>
      <c r="J97" s="2" t="s">
        <v>29</v>
      </c>
      <c r="K97" s="2" t="s">
        <v>30</v>
      </c>
      <c r="L97" s="2" t="s">
        <v>273</v>
      </c>
      <c r="M97" s="2">
        <v>0.579</v>
      </c>
      <c r="N97" s="2" t="s">
        <v>31</v>
      </c>
      <c r="O97" s="2" t="s">
        <v>274</v>
      </c>
      <c r="P97" s="2" t="s">
        <v>275</v>
      </c>
      <c r="Q97" s="2" t="s">
        <v>276</v>
      </c>
      <c r="R97" s="2" t="s">
        <v>33</v>
      </c>
      <c r="S97" s="2" t="s">
        <v>277</v>
      </c>
      <c r="T97" s="2" t="s">
        <v>113</v>
      </c>
      <c r="U97" s="2">
        <v>10.5</v>
      </c>
      <c r="V97" s="2" t="s">
        <v>35</v>
      </c>
      <c r="W97" s="2" t="s">
        <v>278</v>
      </c>
      <c r="X97" s="2" t="s">
        <v>221</v>
      </c>
      <c r="Y97" s="2" t="s">
        <v>38</v>
      </c>
      <c r="Z97" s="2">
        <v>1.29</v>
      </c>
      <c r="AA97" s="2">
        <v>0.86</v>
      </c>
      <c r="AB97" s="2">
        <v>1.93</v>
      </c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</row>
    <row r="98" s="11" customFormat="1" ht="13.85" spans="1:115">
      <c r="A98" s="2">
        <v>331</v>
      </c>
      <c r="B98" s="2">
        <v>1</v>
      </c>
      <c r="C98" s="2" t="s">
        <v>279</v>
      </c>
      <c r="D98" s="2">
        <v>2014</v>
      </c>
      <c r="E98" s="2" t="s">
        <v>280</v>
      </c>
      <c r="F98" s="2" t="s">
        <v>238</v>
      </c>
      <c r="G98" s="2" t="s">
        <v>281</v>
      </c>
      <c r="H98" s="2" t="str">
        <f>VLOOKUP(G98,[1]Sheet1!A:E,2,FALSE)</f>
        <v>Pennsylvania, USA</v>
      </c>
      <c r="I98" s="2" t="str">
        <f>VLOOKUP(G98,[1]Sheet1!A:E,3,FALSE)</f>
        <v>North America</v>
      </c>
      <c r="J98" s="2" t="str">
        <f>VLOOKUP(G98,[1]Sheet1!A:E,4,FALSE)</f>
        <v>Humid Continental</v>
      </c>
      <c r="K98" s="2" t="str">
        <f>VLOOKUP(G98,[1]Sheet1!A:E,5,FALSE)</f>
        <v>High income</v>
      </c>
      <c r="L98" s="2" t="s">
        <v>282</v>
      </c>
      <c r="M98" s="2">
        <v>0.414</v>
      </c>
      <c r="N98" s="2" t="s">
        <v>41</v>
      </c>
      <c r="O98" s="2"/>
      <c r="P98" s="2" t="s">
        <v>283</v>
      </c>
      <c r="Q98" s="2" t="s">
        <v>284</v>
      </c>
      <c r="R98" s="2" t="s">
        <v>33</v>
      </c>
      <c r="S98" s="2"/>
      <c r="T98" s="2">
        <v>0</v>
      </c>
      <c r="U98" s="2">
        <v>0</v>
      </c>
      <c r="V98" s="2" t="s">
        <v>139</v>
      </c>
      <c r="W98" s="2" t="s">
        <v>285</v>
      </c>
      <c r="X98" s="2" t="s">
        <v>221</v>
      </c>
      <c r="Y98" s="2" t="s">
        <v>146</v>
      </c>
      <c r="Z98" s="2">
        <v>0.973</v>
      </c>
      <c r="AA98" s="2">
        <v>0.876</v>
      </c>
      <c r="AB98" s="2">
        <v>1.08</v>
      </c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</row>
    <row r="99" s="11" customFormat="1" ht="13.85" spans="1:115">
      <c r="A99" s="2">
        <v>331</v>
      </c>
      <c r="B99" s="2">
        <v>2</v>
      </c>
      <c r="C99" s="2"/>
      <c r="D99" s="2">
        <v>2014</v>
      </c>
      <c r="E99" s="2"/>
      <c r="F99" s="2" t="s">
        <v>238</v>
      </c>
      <c r="G99" s="2" t="s">
        <v>281</v>
      </c>
      <c r="H99" s="2" t="str">
        <f>VLOOKUP(G99,[1]Sheet1!A:E,2,FALSE)</f>
        <v>Pennsylvania, USA</v>
      </c>
      <c r="I99" s="2" t="str">
        <f>VLOOKUP(G99,[1]Sheet1!A:E,3,FALSE)</f>
        <v>North America</v>
      </c>
      <c r="J99" s="2" t="str">
        <f>VLOOKUP(G99,[1]Sheet1!A:E,4,FALSE)</f>
        <v>Humid Continental</v>
      </c>
      <c r="K99" s="2" t="str">
        <f>VLOOKUP(G99,[1]Sheet1!A:E,5,FALSE)</f>
        <v>High income</v>
      </c>
      <c r="L99" s="2"/>
      <c r="M99" s="2">
        <v>0.414</v>
      </c>
      <c r="N99" s="2" t="s">
        <v>41</v>
      </c>
      <c r="O99" s="2"/>
      <c r="P99" s="2" t="s">
        <v>283</v>
      </c>
      <c r="Q99" s="2" t="s">
        <v>286</v>
      </c>
      <c r="R99" s="2" t="s">
        <v>33</v>
      </c>
      <c r="S99" s="2"/>
      <c r="T99" s="2">
        <v>1</v>
      </c>
      <c r="U99" s="2">
        <v>1</v>
      </c>
      <c r="V99" s="2" t="s">
        <v>139</v>
      </c>
      <c r="W99" s="2" t="s">
        <v>285</v>
      </c>
      <c r="X99" s="2" t="s">
        <v>221</v>
      </c>
      <c r="Y99" s="2" t="s">
        <v>146</v>
      </c>
      <c r="Z99" s="2">
        <v>0.963</v>
      </c>
      <c r="AA99" s="2">
        <v>0.867</v>
      </c>
      <c r="AB99" s="2">
        <v>1.07</v>
      </c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</row>
    <row r="100" s="11" customFormat="1" ht="13.85" spans="1:115">
      <c r="A100" s="2">
        <v>331</v>
      </c>
      <c r="B100" s="2">
        <v>3</v>
      </c>
      <c r="C100" s="2"/>
      <c r="D100" s="2">
        <v>2014</v>
      </c>
      <c r="E100" s="2"/>
      <c r="F100" s="2" t="s">
        <v>238</v>
      </c>
      <c r="G100" s="2" t="s">
        <v>281</v>
      </c>
      <c r="H100" s="2" t="str">
        <f>VLOOKUP(G100,[1]Sheet1!A:E,2,FALSE)</f>
        <v>Pennsylvania, USA</v>
      </c>
      <c r="I100" s="2" t="str">
        <f>VLOOKUP(G100,[1]Sheet1!A:E,3,FALSE)</f>
        <v>North America</v>
      </c>
      <c r="J100" s="2" t="str">
        <f>VLOOKUP(G100,[1]Sheet1!A:E,4,FALSE)</f>
        <v>Humid Continental</v>
      </c>
      <c r="K100" s="2" t="str">
        <f>VLOOKUP(G100,[1]Sheet1!A:E,5,FALSE)</f>
        <v>High income</v>
      </c>
      <c r="L100" s="2"/>
      <c r="M100" s="2">
        <v>0.414</v>
      </c>
      <c r="N100" s="2" t="s">
        <v>41</v>
      </c>
      <c r="O100" s="2"/>
      <c r="P100" s="2" t="s">
        <v>283</v>
      </c>
      <c r="Q100" s="2" t="s">
        <v>286</v>
      </c>
      <c r="R100" s="2" t="s">
        <v>33</v>
      </c>
      <c r="S100" s="2"/>
      <c r="T100" s="2">
        <v>2</v>
      </c>
      <c r="U100" s="2">
        <v>2</v>
      </c>
      <c r="V100" s="2" t="s">
        <v>139</v>
      </c>
      <c r="W100" s="2" t="s">
        <v>285</v>
      </c>
      <c r="X100" s="2" t="s">
        <v>221</v>
      </c>
      <c r="Y100" s="2" t="s">
        <v>146</v>
      </c>
      <c r="Z100" s="2">
        <v>1.121</v>
      </c>
      <c r="AA100" s="2">
        <v>1.013</v>
      </c>
      <c r="AB100" s="2">
        <v>1.242</v>
      </c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</row>
    <row r="101" s="11" customFormat="1" ht="13.85" spans="1:115">
      <c r="A101" s="2">
        <v>331</v>
      </c>
      <c r="B101" s="2">
        <v>4</v>
      </c>
      <c r="C101" s="2"/>
      <c r="D101" s="2">
        <v>2014</v>
      </c>
      <c r="E101" s="2"/>
      <c r="F101" s="2" t="s">
        <v>238</v>
      </c>
      <c r="G101" s="2" t="s">
        <v>281</v>
      </c>
      <c r="H101" s="2" t="str">
        <f>VLOOKUP(G101,[1]Sheet1!A:E,2,FALSE)</f>
        <v>Pennsylvania, USA</v>
      </c>
      <c r="I101" s="2" t="str">
        <f>VLOOKUP(G101,[1]Sheet1!A:E,3,FALSE)</f>
        <v>North America</v>
      </c>
      <c r="J101" s="2" t="str">
        <f>VLOOKUP(G101,[1]Sheet1!A:E,4,FALSE)</f>
        <v>Humid Continental</v>
      </c>
      <c r="K101" s="2" t="str">
        <f>VLOOKUP(G101,[1]Sheet1!A:E,5,FALSE)</f>
        <v>High income</v>
      </c>
      <c r="L101" s="2"/>
      <c r="M101" s="2">
        <v>0.414</v>
      </c>
      <c r="N101" s="2" t="s">
        <v>41</v>
      </c>
      <c r="O101" s="2"/>
      <c r="P101" s="2" t="s">
        <v>283</v>
      </c>
      <c r="Q101" s="2" t="s">
        <v>286</v>
      </c>
      <c r="R101" s="2" t="s">
        <v>33</v>
      </c>
      <c r="S101" s="2"/>
      <c r="T101" s="2">
        <v>3</v>
      </c>
      <c r="U101" s="2">
        <v>3</v>
      </c>
      <c r="V101" s="2" t="s">
        <v>139</v>
      </c>
      <c r="W101" s="2" t="s">
        <v>285</v>
      </c>
      <c r="X101" s="2" t="s">
        <v>221</v>
      </c>
      <c r="Y101" s="2" t="s">
        <v>146</v>
      </c>
      <c r="Z101" s="2">
        <v>1.091</v>
      </c>
      <c r="AA101" s="2">
        <v>0.986</v>
      </c>
      <c r="AB101" s="2">
        <v>1.207</v>
      </c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</row>
    <row r="102" ht="13.85" spans="1:1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</row>
    <row r="103" ht="13.85" spans="1:1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</row>
    <row r="104" ht="13.85" spans="1:1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</row>
    <row r="105" ht="13.85" spans="1:1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</row>
    <row r="106" ht="13.85" spans="1:1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</row>
    <row r="107" ht="13.85" spans="1:1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</row>
    <row r="108" ht="13.85" spans="1:1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</row>
    <row r="109" ht="13.85" spans="1:1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</row>
    <row r="110" ht="13.85" spans="1:1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</row>
  </sheetData>
  <autoFilter xmlns:etc="http://www.wps.cn/officeDocument/2017/etCustomData" ref="A1:AB101" etc:filterBottomFollowUsedRange="0">
    <extLst/>
  </autoFilter>
  <hyperlinks>
    <hyperlink ref="E5" r:id="rId3" display="Ejin Kim" tooltip="https://pubmed.ncbi.nlm.nih.gov/?term=Kim+E&amp;cauthor_id=29920466"/>
    <hyperlink ref="E52" r:id="rId4" display="Yongqiao Zhang" tooltip="https://pubmed.ncbi.nlm.nih.gov/?term=Zhang+Y&amp;cauthor_id=32099346"/>
  </hyperlink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90"/>
  <sheetViews>
    <sheetView zoomScale="85" zoomScaleNormal="85" topLeftCell="A17" workbookViewId="0">
      <pane xSplit="1" topLeftCell="B1" activePane="topRight" state="frozen"/>
      <selection/>
      <selection pane="topRight" activeCell="H1" sqref="H1"/>
    </sheetView>
  </sheetViews>
  <sheetFormatPr defaultColWidth="9" defaultRowHeight="13.85"/>
  <cols>
    <col min="1" max="6" width="9" style="5"/>
    <col min="7" max="7" width="31.2743362831858" style="5" customWidth="1"/>
    <col min="8" max="9" width="9" style="5"/>
    <col min="10" max="10" width="18.8053097345133" style="5" customWidth="1"/>
    <col min="11" max="14" width="9" style="5"/>
    <col min="15" max="15" width="23.4424778761062" style="5" customWidth="1"/>
    <col min="16" max="16" width="9" style="5"/>
    <col min="17" max="17" width="74.0796460176991" style="5" customWidth="1"/>
    <col min="18" max="18" width="14.8141592920354" style="5" customWidth="1"/>
    <col min="19" max="22" width="9" style="5"/>
    <col min="23" max="23" width="36.2477876106195" style="5" customWidth="1"/>
    <col min="24" max="16384" width="9" style="5"/>
  </cols>
  <sheetData>
    <row r="1" ht="13.9" spans="1:5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12" t="s">
        <v>19</v>
      </c>
      <c r="V1" s="2" t="s">
        <v>20</v>
      </c>
      <c r="W1" s="2" t="s">
        <v>21</v>
      </c>
      <c r="X1" s="2"/>
      <c r="Y1" s="2" t="s">
        <v>22</v>
      </c>
      <c r="Z1" s="2" t="s">
        <v>23</v>
      </c>
      <c r="AA1" s="2" t="s">
        <v>24</v>
      </c>
      <c r="AB1" s="2" t="s">
        <v>25</v>
      </c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</row>
    <row r="2" spans="1:57">
      <c r="A2" s="2">
        <v>21</v>
      </c>
      <c r="B2" s="2">
        <v>1</v>
      </c>
      <c r="C2" s="2" t="s">
        <v>287</v>
      </c>
      <c r="D2" s="2">
        <v>2020</v>
      </c>
      <c r="E2" s="2" t="s">
        <v>288</v>
      </c>
      <c r="F2" s="2" t="s">
        <v>26</v>
      </c>
      <c r="G2" s="2" t="s">
        <v>289</v>
      </c>
      <c r="H2" s="2" t="s">
        <v>289</v>
      </c>
      <c r="I2" s="2" t="s">
        <v>28</v>
      </c>
      <c r="J2" s="2" t="s">
        <v>152</v>
      </c>
      <c r="K2" s="2" t="s">
        <v>50</v>
      </c>
      <c r="L2" s="2">
        <v>15369</v>
      </c>
      <c r="M2" s="2"/>
      <c r="N2" s="2" t="s">
        <v>41</v>
      </c>
      <c r="O2" s="2"/>
      <c r="P2" s="2" t="s">
        <v>290</v>
      </c>
      <c r="Q2" s="2" t="s">
        <v>291</v>
      </c>
      <c r="R2" s="2" t="s">
        <v>33</v>
      </c>
      <c r="S2" s="2"/>
      <c r="T2" s="2" t="s">
        <v>43</v>
      </c>
      <c r="U2" s="2">
        <v>15</v>
      </c>
      <c r="V2" s="2" t="s">
        <v>35</v>
      </c>
      <c r="W2" s="2" t="s">
        <v>292</v>
      </c>
      <c r="X2" s="2" t="s">
        <v>292</v>
      </c>
      <c r="Y2" s="2" t="s">
        <v>38</v>
      </c>
      <c r="Z2" s="2">
        <v>1.86</v>
      </c>
      <c r="AA2" s="2">
        <v>1.02</v>
      </c>
      <c r="AB2" s="2">
        <v>3.39</v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</row>
    <row r="3" spans="1:57">
      <c r="A3" s="2">
        <v>36</v>
      </c>
      <c r="B3" s="2">
        <v>1</v>
      </c>
      <c r="C3" s="2"/>
      <c r="D3" s="2" t="s">
        <v>293</v>
      </c>
      <c r="E3" s="2"/>
      <c r="F3" s="2" t="s">
        <v>26</v>
      </c>
      <c r="G3" s="2" t="s">
        <v>294</v>
      </c>
      <c r="H3" s="2" t="s">
        <v>294</v>
      </c>
      <c r="I3" s="2" t="s">
        <v>129</v>
      </c>
      <c r="J3" s="2" t="s">
        <v>190</v>
      </c>
      <c r="K3" s="2" t="s">
        <v>50</v>
      </c>
      <c r="L3" s="2"/>
      <c r="M3" s="2"/>
      <c r="N3" s="2" t="s">
        <v>31</v>
      </c>
      <c r="O3" s="2"/>
      <c r="P3" s="2"/>
      <c r="Q3" s="2" t="s">
        <v>295</v>
      </c>
      <c r="R3" s="2" t="s">
        <v>33</v>
      </c>
      <c r="S3" s="2"/>
      <c r="T3" s="2" t="s">
        <v>296</v>
      </c>
      <c r="U3" s="2">
        <v>0.5</v>
      </c>
      <c r="V3" s="2" t="s">
        <v>35</v>
      </c>
      <c r="W3" s="2" t="s">
        <v>297</v>
      </c>
      <c r="X3" s="2" t="s">
        <v>292</v>
      </c>
      <c r="Y3" s="2" t="s">
        <v>38</v>
      </c>
      <c r="Z3" s="2">
        <v>1.1</v>
      </c>
      <c r="AA3" s="2">
        <v>1.09</v>
      </c>
      <c r="AB3" s="2">
        <v>1.12</v>
      </c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</row>
    <row r="4" spans="1:57">
      <c r="A4" s="2">
        <v>44</v>
      </c>
      <c r="B4" s="2">
        <v>1</v>
      </c>
      <c r="C4" s="2"/>
      <c r="D4" s="2">
        <v>2014</v>
      </c>
      <c r="E4" s="2"/>
      <c r="F4" s="2" t="s">
        <v>26</v>
      </c>
      <c r="G4" s="2" t="s">
        <v>298</v>
      </c>
      <c r="H4" s="2" t="s">
        <v>299</v>
      </c>
      <c r="I4" s="2" t="s">
        <v>28</v>
      </c>
      <c r="J4" s="2" t="s">
        <v>40</v>
      </c>
      <c r="K4" s="2" t="s">
        <v>30</v>
      </c>
      <c r="L4" s="2"/>
      <c r="M4" s="2">
        <v>0.57</v>
      </c>
      <c r="N4" s="2" t="s">
        <v>31</v>
      </c>
      <c r="O4" s="2"/>
      <c r="P4" s="2"/>
      <c r="Q4" s="2" t="s">
        <v>300</v>
      </c>
      <c r="R4" s="2" t="s">
        <v>33</v>
      </c>
      <c r="S4" s="2"/>
      <c r="T4" s="2" t="s">
        <v>187</v>
      </c>
      <c r="U4" s="2">
        <v>7</v>
      </c>
      <c r="V4" s="2" t="s">
        <v>35</v>
      </c>
      <c r="W4" s="2" t="s">
        <v>301</v>
      </c>
      <c r="X4" s="2" t="s">
        <v>292</v>
      </c>
      <c r="Y4" s="2" t="s">
        <v>38</v>
      </c>
      <c r="Z4" s="2">
        <v>1.152</v>
      </c>
      <c r="AA4" s="2">
        <v>0.788</v>
      </c>
      <c r="AB4" s="2">
        <v>1.385</v>
      </c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</row>
    <row r="5" spans="1:57">
      <c r="A5" s="2">
        <v>44</v>
      </c>
      <c r="B5" s="2">
        <v>2</v>
      </c>
      <c r="C5" s="2"/>
      <c r="D5" s="2">
        <v>2014</v>
      </c>
      <c r="E5" s="2"/>
      <c r="F5" s="2" t="s">
        <v>26</v>
      </c>
      <c r="G5" s="2" t="s">
        <v>302</v>
      </c>
      <c r="H5" s="2" t="s">
        <v>303</v>
      </c>
      <c r="I5" s="2" t="s">
        <v>28</v>
      </c>
      <c r="J5" s="2" t="s">
        <v>40</v>
      </c>
      <c r="K5" s="2" t="s">
        <v>30</v>
      </c>
      <c r="L5" s="2"/>
      <c r="M5" s="2">
        <v>0.57</v>
      </c>
      <c r="N5" s="2" t="s">
        <v>31</v>
      </c>
      <c r="O5" s="2"/>
      <c r="P5" s="2"/>
      <c r="Q5" s="2" t="s">
        <v>300</v>
      </c>
      <c r="R5" s="2" t="s">
        <v>33</v>
      </c>
      <c r="S5" s="2"/>
      <c r="T5" s="2" t="s">
        <v>187</v>
      </c>
      <c r="U5" s="2">
        <v>7</v>
      </c>
      <c r="V5" s="2" t="s">
        <v>35</v>
      </c>
      <c r="W5" s="2" t="s">
        <v>301</v>
      </c>
      <c r="X5" s="2" t="s">
        <v>292</v>
      </c>
      <c r="Y5" s="2" t="s">
        <v>38</v>
      </c>
      <c r="Z5" s="2">
        <v>0.704</v>
      </c>
      <c r="AA5" s="2">
        <v>0.485</v>
      </c>
      <c r="AB5" s="2">
        <v>2.67</v>
      </c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</row>
    <row r="6" spans="1:57">
      <c r="A6" s="2">
        <v>44</v>
      </c>
      <c r="B6" s="2">
        <v>3</v>
      </c>
      <c r="C6" s="2"/>
      <c r="D6" s="2">
        <v>2014</v>
      </c>
      <c r="E6" s="2"/>
      <c r="F6" s="2" t="s">
        <v>26</v>
      </c>
      <c r="G6" s="2" t="s">
        <v>304</v>
      </c>
      <c r="H6" s="2" t="s">
        <v>303</v>
      </c>
      <c r="I6" s="2" t="s">
        <v>28</v>
      </c>
      <c r="J6" s="2" t="s">
        <v>40</v>
      </c>
      <c r="K6" s="2" t="s">
        <v>30</v>
      </c>
      <c r="L6" s="2"/>
      <c r="M6" s="2">
        <v>0.57</v>
      </c>
      <c r="N6" s="2" t="s">
        <v>31</v>
      </c>
      <c r="O6" s="2"/>
      <c r="P6" s="2"/>
      <c r="Q6" s="2" t="s">
        <v>300</v>
      </c>
      <c r="R6" s="2" t="s">
        <v>33</v>
      </c>
      <c r="S6" s="2"/>
      <c r="T6" s="2" t="s">
        <v>187</v>
      </c>
      <c r="U6" s="2">
        <v>7</v>
      </c>
      <c r="V6" s="2" t="s">
        <v>35</v>
      </c>
      <c r="W6" s="2" t="s">
        <v>301</v>
      </c>
      <c r="X6" s="2" t="s">
        <v>292</v>
      </c>
      <c r="Y6" s="2" t="s">
        <v>38</v>
      </c>
      <c r="Z6" s="2">
        <v>1.111</v>
      </c>
      <c r="AA6" s="2">
        <v>0.487</v>
      </c>
      <c r="AB6" s="2">
        <v>2.532</v>
      </c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</row>
    <row r="7" spans="1:57">
      <c r="A7" s="2">
        <v>63</v>
      </c>
      <c r="B7" s="2">
        <v>1</v>
      </c>
      <c r="C7" s="2" t="s">
        <v>305</v>
      </c>
      <c r="D7" s="2">
        <v>2008</v>
      </c>
      <c r="E7" s="2" t="s">
        <v>306</v>
      </c>
      <c r="F7" s="2" t="s">
        <v>26</v>
      </c>
      <c r="G7" s="2" t="s">
        <v>307</v>
      </c>
      <c r="H7" s="2" t="s">
        <v>308</v>
      </c>
      <c r="I7" s="2" t="s">
        <v>309</v>
      </c>
      <c r="J7" s="2" t="s">
        <v>130</v>
      </c>
      <c r="K7" s="2" t="s">
        <v>50</v>
      </c>
      <c r="L7" s="2" t="s">
        <v>310</v>
      </c>
      <c r="M7" s="2"/>
      <c r="N7" s="2" t="s">
        <v>41</v>
      </c>
      <c r="O7" s="2"/>
      <c r="P7" s="2" t="s">
        <v>311</v>
      </c>
      <c r="Q7" s="2" t="s">
        <v>312</v>
      </c>
      <c r="R7" s="2" t="s">
        <v>33</v>
      </c>
      <c r="S7" s="2"/>
      <c r="T7" s="2"/>
      <c r="U7" s="2"/>
      <c r="V7" s="2" t="s">
        <v>139</v>
      </c>
      <c r="W7" s="2" t="s">
        <v>313</v>
      </c>
      <c r="X7" s="2" t="s">
        <v>292</v>
      </c>
      <c r="Y7" s="2" t="s">
        <v>146</v>
      </c>
      <c r="Z7" s="2">
        <v>1.0269</v>
      </c>
      <c r="AA7" s="2">
        <v>0.9794</v>
      </c>
      <c r="AB7" s="2">
        <v>1.0788</v>
      </c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</row>
    <row r="8" spans="1:57">
      <c r="A8" s="2">
        <v>63</v>
      </c>
      <c r="B8" s="2">
        <v>2</v>
      </c>
      <c r="C8" s="2"/>
      <c r="D8" s="2">
        <v>2008</v>
      </c>
      <c r="E8" s="2"/>
      <c r="F8" s="2" t="s">
        <v>26</v>
      </c>
      <c r="G8" s="2" t="s">
        <v>314</v>
      </c>
      <c r="H8" s="2" t="s">
        <v>315</v>
      </c>
      <c r="I8" s="2" t="s">
        <v>309</v>
      </c>
      <c r="J8" s="2" t="s">
        <v>29</v>
      </c>
      <c r="K8" s="2" t="s">
        <v>30</v>
      </c>
      <c r="L8" s="2"/>
      <c r="M8" s="2"/>
      <c r="N8" s="2" t="s">
        <v>41</v>
      </c>
      <c r="O8" s="2"/>
      <c r="P8" s="2"/>
      <c r="Q8" s="2" t="s">
        <v>312</v>
      </c>
      <c r="R8" s="2" t="s">
        <v>33</v>
      </c>
      <c r="S8" s="2"/>
      <c r="T8" s="2"/>
      <c r="U8" s="2"/>
      <c r="V8" s="2" t="s">
        <v>139</v>
      </c>
      <c r="W8" s="2" t="s">
        <v>313</v>
      </c>
      <c r="X8" s="2" t="s">
        <v>292</v>
      </c>
      <c r="Y8" s="2" t="s">
        <v>146</v>
      </c>
      <c r="Z8" s="2">
        <v>1.0651</v>
      </c>
      <c r="AA8" s="2">
        <v>1.0357</v>
      </c>
      <c r="AB8" s="2">
        <v>1.0952</v>
      </c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</row>
    <row r="9" spans="1:57">
      <c r="A9" s="2">
        <v>63</v>
      </c>
      <c r="B9" s="2">
        <v>3</v>
      </c>
      <c r="C9" s="2"/>
      <c r="D9" s="2">
        <v>2008</v>
      </c>
      <c r="E9" s="2"/>
      <c r="F9" s="2" t="s">
        <v>26</v>
      </c>
      <c r="G9" s="2" t="s">
        <v>316</v>
      </c>
      <c r="H9" s="2" t="s">
        <v>316</v>
      </c>
      <c r="I9" s="2" t="s">
        <v>48</v>
      </c>
      <c r="J9" s="2" t="s">
        <v>49</v>
      </c>
      <c r="K9" s="2" t="s">
        <v>30</v>
      </c>
      <c r="L9" s="2"/>
      <c r="M9" s="2"/>
      <c r="N9" s="2" t="s">
        <v>41</v>
      </c>
      <c r="O9" s="2"/>
      <c r="P9" s="2"/>
      <c r="Q9" s="2" t="s">
        <v>312</v>
      </c>
      <c r="R9" s="2" t="s">
        <v>33</v>
      </c>
      <c r="S9" s="2"/>
      <c r="T9" s="2"/>
      <c r="U9" s="2"/>
      <c r="V9" s="2" t="s">
        <v>139</v>
      </c>
      <c r="W9" s="2" t="s">
        <v>313</v>
      </c>
      <c r="X9" s="2" t="s">
        <v>292</v>
      </c>
      <c r="Y9" s="2" t="s">
        <v>146</v>
      </c>
      <c r="Z9" s="2">
        <v>1.0322</v>
      </c>
      <c r="AA9" s="2">
        <v>1.0093</v>
      </c>
      <c r="AB9" s="2">
        <v>1.0557</v>
      </c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</row>
    <row r="10" spans="1:57">
      <c r="A10" s="2">
        <v>211</v>
      </c>
      <c r="B10" s="2">
        <v>1</v>
      </c>
      <c r="C10" s="2" t="s">
        <v>317</v>
      </c>
      <c r="D10" s="2" t="s">
        <v>318</v>
      </c>
      <c r="E10" s="2" t="s">
        <v>319</v>
      </c>
      <c r="F10" s="2" t="s">
        <v>26</v>
      </c>
      <c r="G10" s="2" t="s">
        <v>320</v>
      </c>
      <c r="H10" s="2" t="s">
        <v>320</v>
      </c>
      <c r="I10" s="2" t="s">
        <v>129</v>
      </c>
      <c r="J10" s="2" t="s">
        <v>130</v>
      </c>
      <c r="K10" s="2" t="s">
        <v>50</v>
      </c>
      <c r="L10" s="2" t="s">
        <v>321</v>
      </c>
      <c r="M10" s="2"/>
      <c r="N10" s="2" t="s">
        <v>31</v>
      </c>
      <c r="O10" s="2"/>
      <c r="P10" s="2" t="s">
        <v>322</v>
      </c>
      <c r="Q10" s="2" t="s">
        <v>323</v>
      </c>
      <c r="R10" s="2" t="s">
        <v>33</v>
      </c>
      <c r="S10" s="2"/>
      <c r="T10" s="2" t="s">
        <v>63</v>
      </c>
      <c r="U10" s="2">
        <v>3.5</v>
      </c>
      <c r="V10" s="2" t="s">
        <v>35</v>
      </c>
      <c r="W10" s="2" t="s">
        <v>324</v>
      </c>
      <c r="X10" s="2" t="s">
        <v>292</v>
      </c>
      <c r="Y10" s="2" t="s">
        <v>38</v>
      </c>
      <c r="Z10" s="2">
        <v>1.65</v>
      </c>
      <c r="AA10" s="2">
        <v>1.42</v>
      </c>
      <c r="AB10" s="2">
        <v>1.91</v>
      </c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</row>
    <row r="11" spans="1:57">
      <c r="A11" s="2">
        <v>211</v>
      </c>
      <c r="B11" s="2">
        <v>2</v>
      </c>
      <c r="C11" s="2"/>
      <c r="D11" s="2" t="s">
        <v>325</v>
      </c>
      <c r="E11" s="2"/>
      <c r="F11" s="2" t="s">
        <v>26</v>
      </c>
      <c r="G11" s="2" t="s">
        <v>320</v>
      </c>
      <c r="H11" s="2" t="s">
        <v>320</v>
      </c>
      <c r="I11" s="2" t="s">
        <v>129</v>
      </c>
      <c r="J11" s="2" t="s">
        <v>130</v>
      </c>
      <c r="K11" s="2" t="s">
        <v>50</v>
      </c>
      <c r="L11" s="2"/>
      <c r="M11" s="2"/>
      <c r="N11" s="2" t="s">
        <v>31</v>
      </c>
      <c r="O11" s="2"/>
      <c r="P11" s="2"/>
      <c r="Q11" s="2" t="s">
        <v>323</v>
      </c>
      <c r="R11" s="2" t="s">
        <v>33</v>
      </c>
      <c r="S11" s="2"/>
      <c r="T11" s="2" t="s">
        <v>63</v>
      </c>
      <c r="U11" s="2">
        <v>3.5</v>
      </c>
      <c r="V11" s="2" t="s">
        <v>35</v>
      </c>
      <c r="W11" s="2" t="s">
        <v>324</v>
      </c>
      <c r="X11" s="2" t="s">
        <v>292</v>
      </c>
      <c r="Y11" s="2" t="s">
        <v>38</v>
      </c>
      <c r="Z11" s="2">
        <v>1.14</v>
      </c>
      <c r="AA11" s="2">
        <v>0.99</v>
      </c>
      <c r="AB11" s="2">
        <v>1.32</v>
      </c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</row>
    <row r="12" spans="1:57">
      <c r="A12" s="2">
        <v>211</v>
      </c>
      <c r="B12" s="2">
        <v>3</v>
      </c>
      <c r="C12" s="2"/>
      <c r="D12" s="2" t="s">
        <v>326</v>
      </c>
      <c r="E12" s="2"/>
      <c r="F12" s="2" t="s">
        <v>26</v>
      </c>
      <c r="G12" s="2" t="s">
        <v>320</v>
      </c>
      <c r="H12" s="2" t="s">
        <v>320</v>
      </c>
      <c r="I12" s="2" t="s">
        <v>129</v>
      </c>
      <c r="J12" s="2" t="s">
        <v>130</v>
      </c>
      <c r="K12" s="2" t="s">
        <v>50</v>
      </c>
      <c r="L12" s="2"/>
      <c r="M12" s="2"/>
      <c r="N12" s="2" t="s">
        <v>31</v>
      </c>
      <c r="O12" s="2"/>
      <c r="P12" s="2"/>
      <c r="Q12" s="2" t="s">
        <v>323</v>
      </c>
      <c r="R12" s="2" t="s">
        <v>33</v>
      </c>
      <c r="S12" s="2"/>
      <c r="T12" s="2" t="s">
        <v>63</v>
      </c>
      <c r="U12" s="2">
        <v>3.5</v>
      </c>
      <c r="V12" s="2" t="s">
        <v>35</v>
      </c>
      <c r="W12" s="2" t="s">
        <v>324</v>
      </c>
      <c r="X12" s="2" t="s">
        <v>292</v>
      </c>
      <c r="Y12" s="2" t="s">
        <v>38</v>
      </c>
      <c r="Z12" s="2">
        <v>1.24</v>
      </c>
      <c r="AA12" s="2">
        <v>1.15</v>
      </c>
      <c r="AB12" s="2">
        <v>1.35</v>
      </c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</row>
    <row r="13" spans="1:57">
      <c r="A13" s="2">
        <v>211</v>
      </c>
      <c r="B13" s="2">
        <v>4</v>
      </c>
      <c r="C13" s="2"/>
      <c r="D13" s="2" t="s">
        <v>327</v>
      </c>
      <c r="E13" s="2"/>
      <c r="F13" s="2" t="s">
        <v>26</v>
      </c>
      <c r="G13" s="2" t="s">
        <v>320</v>
      </c>
      <c r="H13" s="2" t="s">
        <v>320</v>
      </c>
      <c r="I13" s="2" t="s">
        <v>129</v>
      </c>
      <c r="J13" s="2" t="s">
        <v>130</v>
      </c>
      <c r="K13" s="2" t="s">
        <v>50</v>
      </c>
      <c r="L13" s="2"/>
      <c r="M13" s="2"/>
      <c r="N13" s="2" t="s">
        <v>31</v>
      </c>
      <c r="O13" s="2"/>
      <c r="P13" s="2"/>
      <c r="Q13" s="2" t="s">
        <v>328</v>
      </c>
      <c r="R13" s="2" t="s">
        <v>33</v>
      </c>
      <c r="S13" s="2"/>
      <c r="T13" s="2" t="s">
        <v>63</v>
      </c>
      <c r="U13" s="2">
        <v>3.5</v>
      </c>
      <c r="V13" s="2" t="s">
        <v>35</v>
      </c>
      <c r="W13" s="2" t="s">
        <v>324</v>
      </c>
      <c r="X13" s="2" t="s">
        <v>292</v>
      </c>
      <c r="Y13" s="2" t="s">
        <v>38</v>
      </c>
      <c r="Z13" s="2">
        <v>1.33</v>
      </c>
      <c r="AA13" s="2">
        <v>1.19</v>
      </c>
      <c r="AB13" s="2">
        <v>1.47</v>
      </c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</row>
    <row r="14" spans="1:57">
      <c r="A14" s="2">
        <v>215</v>
      </c>
      <c r="B14" s="2">
        <v>1</v>
      </c>
      <c r="C14" s="2"/>
      <c r="D14" s="2">
        <v>2022</v>
      </c>
      <c r="E14" s="2"/>
      <c r="F14" s="2" t="s">
        <v>212</v>
      </c>
      <c r="G14" s="2" t="s">
        <v>329</v>
      </c>
      <c r="H14" s="2" t="s">
        <v>329</v>
      </c>
      <c r="I14" s="2" t="s">
        <v>129</v>
      </c>
      <c r="J14" s="2" t="s">
        <v>330</v>
      </c>
      <c r="K14" s="2" t="s">
        <v>50</v>
      </c>
      <c r="L14" s="2"/>
      <c r="M14" s="2">
        <v>0.474</v>
      </c>
      <c r="N14" s="2" t="s">
        <v>41</v>
      </c>
      <c r="O14" s="2"/>
      <c r="P14" s="2"/>
      <c r="Q14" s="2" t="s">
        <v>331</v>
      </c>
      <c r="R14" s="2" t="s">
        <v>33</v>
      </c>
      <c r="S14" s="2"/>
      <c r="T14" s="2" t="s">
        <v>63</v>
      </c>
      <c r="U14" s="2">
        <v>3.5</v>
      </c>
      <c r="V14" s="2" t="s">
        <v>35</v>
      </c>
      <c r="W14" s="2" t="s">
        <v>324</v>
      </c>
      <c r="X14" s="2" t="s">
        <v>292</v>
      </c>
      <c r="Y14" s="2" t="s">
        <v>146</v>
      </c>
      <c r="Z14" s="2">
        <v>1.11</v>
      </c>
      <c r="AA14" s="2">
        <v>1.03</v>
      </c>
      <c r="AB14" s="2">
        <v>1.2</v>
      </c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</row>
    <row r="15" spans="1:57">
      <c r="A15" s="2">
        <v>215</v>
      </c>
      <c r="B15" s="2">
        <v>2</v>
      </c>
      <c r="C15" s="2"/>
      <c r="D15" s="2">
        <v>2022</v>
      </c>
      <c r="E15" s="2"/>
      <c r="F15" s="2" t="s">
        <v>222</v>
      </c>
      <c r="G15" s="2" t="s">
        <v>329</v>
      </c>
      <c r="H15" s="2" t="s">
        <v>329</v>
      </c>
      <c r="I15" s="2" t="s">
        <v>129</v>
      </c>
      <c r="J15" s="2" t="s">
        <v>330</v>
      </c>
      <c r="K15" s="2" t="s">
        <v>50</v>
      </c>
      <c r="L15" s="2"/>
      <c r="M15" s="2">
        <v>0.474</v>
      </c>
      <c r="N15" s="2" t="s">
        <v>41</v>
      </c>
      <c r="O15" s="2"/>
      <c r="P15" s="2"/>
      <c r="Q15" s="2" t="s">
        <v>331</v>
      </c>
      <c r="R15" s="2" t="s">
        <v>33</v>
      </c>
      <c r="S15" s="2"/>
      <c r="T15" s="2" t="s">
        <v>63</v>
      </c>
      <c r="U15" s="2">
        <v>3.5</v>
      </c>
      <c r="V15" s="2" t="s">
        <v>35</v>
      </c>
      <c r="W15" s="2" t="s">
        <v>324</v>
      </c>
      <c r="X15" s="2" t="s">
        <v>292</v>
      </c>
      <c r="Y15" s="2" t="s">
        <v>146</v>
      </c>
      <c r="Z15" s="2">
        <v>1.17</v>
      </c>
      <c r="AA15" s="2">
        <v>1.1</v>
      </c>
      <c r="AB15" s="2">
        <v>1.24</v>
      </c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</row>
    <row r="16" spans="1:57">
      <c r="A16" s="2">
        <v>215</v>
      </c>
      <c r="B16" s="2">
        <v>3</v>
      </c>
      <c r="C16" s="2"/>
      <c r="D16" s="2">
        <v>2022</v>
      </c>
      <c r="E16" s="2"/>
      <c r="F16" s="2" t="s">
        <v>224</v>
      </c>
      <c r="G16" s="2" t="s">
        <v>329</v>
      </c>
      <c r="H16" s="2" t="s">
        <v>329</v>
      </c>
      <c r="I16" s="2" t="s">
        <v>129</v>
      </c>
      <c r="J16" s="2" t="s">
        <v>330</v>
      </c>
      <c r="K16" s="2" t="s">
        <v>50</v>
      </c>
      <c r="L16" s="2"/>
      <c r="M16" s="2">
        <v>0.474</v>
      </c>
      <c r="N16" s="2" t="s">
        <v>41</v>
      </c>
      <c r="O16" s="2"/>
      <c r="P16" s="2"/>
      <c r="Q16" s="2" t="s">
        <v>331</v>
      </c>
      <c r="R16" s="2" t="s">
        <v>33</v>
      </c>
      <c r="S16" s="2"/>
      <c r="T16" s="2" t="s">
        <v>63</v>
      </c>
      <c r="U16" s="2">
        <v>3.5</v>
      </c>
      <c r="V16" s="2" t="s">
        <v>35</v>
      </c>
      <c r="W16" s="2" t="s">
        <v>324</v>
      </c>
      <c r="X16" s="2" t="s">
        <v>292</v>
      </c>
      <c r="Y16" s="2" t="s">
        <v>146</v>
      </c>
      <c r="Z16" s="2">
        <v>1.19</v>
      </c>
      <c r="AA16" s="2">
        <v>1.11</v>
      </c>
      <c r="AB16" s="2">
        <v>1.28</v>
      </c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</row>
    <row r="17" spans="1:57">
      <c r="A17" s="2">
        <v>244</v>
      </c>
      <c r="B17" s="2">
        <v>1</v>
      </c>
      <c r="C17" s="2" t="s">
        <v>332</v>
      </c>
      <c r="D17" s="2">
        <v>2020</v>
      </c>
      <c r="E17" s="2" t="s">
        <v>333</v>
      </c>
      <c r="F17" s="2" t="s">
        <v>334</v>
      </c>
      <c r="G17" s="2" t="s">
        <v>335</v>
      </c>
      <c r="H17" s="2" t="s">
        <v>335</v>
      </c>
      <c r="I17" s="2" t="s">
        <v>129</v>
      </c>
      <c r="J17" s="2" t="s">
        <v>29</v>
      </c>
      <c r="K17" s="2" t="s">
        <v>50</v>
      </c>
      <c r="L17" s="2">
        <v>13006</v>
      </c>
      <c r="M17" s="2">
        <v>1</v>
      </c>
      <c r="N17" s="2" t="s">
        <v>31</v>
      </c>
      <c r="O17" s="2"/>
      <c r="P17" s="2" t="s">
        <v>336</v>
      </c>
      <c r="Q17" s="2" t="s">
        <v>337</v>
      </c>
      <c r="R17" s="2" t="s">
        <v>33</v>
      </c>
      <c r="S17" s="2"/>
      <c r="T17" s="2">
        <v>7</v>
      </c>
      <c r="U17" s="2">
        <v>3.5</v>
      </c>
      <c r="V17" s="2" t="s">
        <v>35</v>
      </c>
      <c r="W17" s="2" t="s">
        <v>292</v>
      </c>
      <c r="X17" s="2" t="s">
        <v>292</v>
      </c>
      <c r="Y17" s="2" t="s">
        <v>338</v>
      </c>
      <c r="Z17" s="2">
        <v>1.44</v>
      </c>
      <c r="AA17" s="2">
        <v>1.23</v>
      </c>
      <c r="AB17" s="2">
        <v>1.69</v>
      </c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</row>
    <row r="18" spans="1:57">
      <c r="A18" s="2">
        <v>244</v>
      </c>
      <c r="B18" s="2">
        <v>2</v>
      </c>
      <c r="C18" s="2"/>
      <c r="D18" s="2">
        <v>2020</v>
      </c>
      <c r="E18" s="2"/>
      <c r="F18" s="2" t="s">
        <v>339</v>
      </c>
      <c r="G18" s="2" t="s">
        <v>335</v>
      </c>
      <c r="H18" s="2" t="s">
        <v>335</v>
      </c>
      <c r="I18" s="2" t="s">
        <v>129</v>
      </c>
      <c r="J18" s="2" t="s">
        <v>29</v>
      </c>
      <c r="K18" s="2" t="s">
        <v>50</v>
      </c>
      <c r="L18" s="2">
        <v>17677</v>
      </c>
      <c r="M18" s="2">
        <v>1</v>
      </c>
      <c r="N18" s="2" t="s">
        <v>31</v>
      </c>
      <c r="O18" s="2"/>
      <c r="P18" s="2" t="s">
        <v>336</v>
      </c>
      <c r="Q18" s="2" t="s">
        <v>337</v>
      </c>
      <c r="R18" s="2" t="s">
        <v>33</v>
      </c>
      <c r="S18" s="2"/>
      <c r="T18" s="2">
        <v>7</v>
      </c>
      <c r="U18" s="2">
        <v>3.5</v>
      </c>
      <c r="V18" s="2" t="s">
        <v>35</v>
      </c>
      <c r="W18" s="2" t="s">
        <v>292</v>
      </c>
      <c r="X18" s="2" t="s">
        <v>292</v>
      </c>
      <c r="Y18" s="2" t="s">
        <v>338</v>
      </c>
      <c r="Z18" s="2">
        <v>1.53</v>
      </c>
      <c r="AA18" s="2">
        <v>1.37</v>
      </c>
      <c r="AB18" s="2">
        <v>1.71</v>
      </c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</row>
    <row r="19" spans="1:57">
      <c r="A19" s="2">
        <v>244</v>
      </c>
      <c r="B19" s="2">
        <v>3</v>
      </c>
      <c r="C19" s="2"/>
      <c r="D19" s="2">
        <v>2020</v>
      </c>
      <c r="E19" s="2"/>
      <c r="F19" s="2" t="s">
        <v>340</v>
      </c>
      <c r="G19" s="2" t="s">
        <v>335</v>
      </c>
      <c r="H19" s="2" t="s">
        <v>335</v>
      </c>
      <c r="I19" s="2" t="s">
        <v>129</v>
      </c>
      <c r="J19" s="2" t="s">
        <v>29</v>
      </c>
      <c r="K19" s="2" t="s">
        <v>50</v>
      </c>
      <c r="L19" s="2">
        <v>11075</v>
      </c>
      <c r="M19" s="2">
        <v>1</v>
      </c>
      <c r="N19" s="2" t="s">
        <v>31</v>
      </c>
      <c r="O19" s="2"/>
      <c r="P19" s="2" t="s">
        <v>336</v>
      </c>
      <c r="Q19" s="2" t="s">
        <v>337</v>
      </c>
      <c r="R19" s="2" t="s">
        <v>33</v>
      </c>
      <c r="S19" s="2"/>
      <c r="T19" s="2">
        <v>7</v>
      </c>
      <c r="U19" s="2">
        <v>3.5</v>
      </c>
      <c r="V19" s="2" t="s">
        <v>35</v>
      </c>
      <c r="W19" s="2" t="s">
        <v>292</v>
      </c>
      <c r="X19" s="2" t="s">
        <v>292</v>
      </c>
      <c r="Y19" s="2" t="s">
        <v>338</v>
      </c>
      <c r="Z19" s="2">
        <v>2.04</v>
      </c>
      <c r="AA19" s="2">
        <v>1.76</v>
      </c>
      <c r="AB19" s="2">
        <v>2.38</v>
      </c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</row>
    <row r="20" spans="1:57">
      <c r="A20" s="2">
        <v>244</v>
      </c>
      <c r="B20" s="2">
        <v>4</v>
      </c>
      <c r="C20" s="2"/>
      <c r="D20" s="2">
        <v>2020</v>
      </c>
      <c r="E20" s="2"/>
      <c r="F20" s="2" t="s">
        <v>341</v>
      </c>
      <c r="G20" s="2" t="s">
        <v>335</v>
      </c>
      <c r="H20" s="2" t="s">
        <v>335</v>
      </c>
      <c r="I20" s="2" t="s">
        <v>129</v>
      </c>
      <c r="J20" s="2" t="s">
        <v>29</v>
      </c>
      <c r="K20" s="2" t="s">
        <v>50</v>
      </c>
      <c r="L20" s="2">
        <v>8422</v>
      </c>
      <c r="M20" s="2">
        <v>0</v>
      </c>
      <c r="N20" s="2" t="s">
        <v>31</v>
      </c>
      <c r="O20" s="2"/>
      <c r="P20" s="2" t="s">
        <v>336</v>
      </c>
      <c r="Q20" s="2" t="s">
        <v>337</v>
      </c>
      <c r="R20" s="2" t="s">
        <v>33</v>
      </c>
      <c r="S20" s="2"/>
      <c r="T20" s="2">
        <v>7</v>
      </c>
      <c r="U20" s="2">
        <v>3.5</v>
      </c>
      <c r="V20" s="2" t="s">
        <v>35</v>
      </c>
      <c r="W20" s="2" t="s">
        <v>292</v>
      </c>
      <c r="X20" s="2" t="s">
        <v>292</v>
      </c>
      <c r="Y20" s="2" t="s">
        <v>38</v>
      </c>
      <c r="Z20" s="2">
        <v>1.69</v>
      </c>
      <c r="AA20" s="2">
        <v>1.43</v>
      </c>
      <c r="AB20" s="2">
        <v>1.99</v>
      </c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</row>
    <row r="21" spans="1:57">
      <c r="A21" s="2">
        <v>244</v>
      </c>
      <c r="B21" s="2">
        <v>5</v>
      </c>
      <c r="C21" s="2"/>
      <c r="D21" s="2">
        <v>2020</v>
      </c>
      <c r="E21" s="2"/>
      <c r="F21" s="2" t="s">
        <v>342</v>
      </c>
      <c r="G21" s="2" t="s">
        <v>335</v>
      </c>
      <c r="H21" s="2" t="s">
        <v>335</v>
      </c>
      <c r="I21" s="2" t="s">
        <v>129</v>
      </c>
      <c r="J21" s="2" t="s">
        <v>29</v>
      </c>
      <c r="K21" s="2" t="s">
        <v>50</v>
      </c>
      <c r="L21" s="2">
        <v>18277</v>
      </c>
      <c r="M21" s="2">
        <v>0</v>
      </c>
      <c r="N21" s="2" t="s">
        <v>31</v>
      </c>
      <c r="O21" s="2"/>
      <c r="P21" s="2" t="s">
        <v>336</v>
      </c>
      <c r="Q21" s="2" t="s">
        <v>337</v>
      </c>
      <c r="R21" s="2" t="s">
        <v>33</v>
      </c>
      <c r="S21" s="2"/>
      <c r="T21" s="2">
        <v>7</v>
      </c>
      <c r="U21" s="2">
        <v>3.5</v>
      </c>
      <c r="V21" s="2" t="s">
        <v>35</v>
      </c>
      <c r="W21" s="2" t="s">
        <v>292</v>
      </c>
      <c r="X21" s="2" t="s">
        <v>292</v>
      </c>
      <c r="Y21" s="2" t="s">
        <v>38</v>
      </c>
      <c r="Z21" s="2">
        <v>1.9</v>
      </c>
      <c r="AA21" s="2">
        <v>1.71</v>
      </c>
      <c r="AB21" s="2">
        <v>2.11</v>
      </c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</row>
    <row r="22" spans="1:57">
      <c r="A22" s="2">
        <v>244</v>
      </c>
      <c r="B22" s="2">
        <v>6</v>
      </c>
      <c r="C22" s="2"/>
      <c r="D22" s="2">
        <v>2020</v>
      </c>
      <c r="E22" s="2"/>
      <c r="F22" s="2" t="s">
        <v>343</v>
      </c>
      <c r="G22" s="2" t="s">
        <v>335</v>
      </c>
      <c r="H22" s="2" t="s">
        <v>335</v>
      </c>
      <c r="I22" s="2" t="s">
        <v>129</v>
      </c>
      <c r="J22" s="2" t="s">
        <v>29</v>
      </c>
      <c r="K22" s="2" t="s">
        <v>50</v>
      </c>
      <c r="L22" s="2">
        <v>25548</v>
      </c>
      <c r="M22" s="2">
        <v>0</v>
      </c>
      <c r="N22" s="2" t="s">
        <v>31</v>
      </c>
      <c r="O22" s="2"/>
      <c r="P22" s="2" t="s">
        <v>336</v>
      </c>
      <c r="Q22" s="2" t="s">
        <v>337</v>
      </c>
      <c r="R22" s="2" t="s">
        <v>33</v>
      </c>
      <c r="S22" s="2"/>
      <c r="T22" s="2">
        <v>7</v>
      </c>
      <c r="U22" s="2">
        <v>3.5</v>
      </c>
      <c r="V22" s="2" t="s">
        <v>35</v>
      </c>
      <c r="W22" s="2" t="s">
        <v>292</v>
      </c>
      <c r="X22" s="2" t="s">
        <v>292</v>
      </c>
      <c r="Y22" s="2" t="s">
        <v>38</v>
      </c>
      <c r="Z22" s="2">
        <v>2.13</v>
      </c>
      <c r="AA22" s="2">
        <v>1.94</v>
      </c>
      <c r="AB22" s="2">
        <v>2.33</v>
      </c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</row>
    <row r="23" spans="1:57">
      <c r="A23" s="2">
        <v>351</v>
      </c>
      <c r="B23" s="2">
        <v>1</v>
      </c>
      <c r="C23" s="2"/>
      <c r="D23" s="2">
        <v>2019</v>
      </c>
      <c r="E23" s="2"/>
      <c r="F23" s="2" t="s">
        <v>26</v>
      </c>
      <c r="G23" s="2" t="s">
        <v>159</v>
      </c>
      <c r="H23" s="2" t="s">
        <v>159</v>
      </c>
      <c r="I23" s="2" t="s">
        <v>28</v>
      </c>
      <c r="J23" s="2" t="s">
        <v>49</v>
      </c>
      <c r="K23" s="2" t="s">
        <v>30</v>
      </c>
      <c r="L23" s="2"/>
      <c r="M23" s="2"/>
      <c r="N23" s="2" t="s">
        <v>31</v>
      </c>
      <c r="O23" s="2"/>
      <c r="P23" s="2" t="s">
        <v>344</v>
      </c>
      <c r="Q23" s="2" t="s">
        <v>345</v>
      </c>
      <c r="R23" s="2" t="s">
        <v>33</v>
      </c>
      <c r="S23" s="2"/>
      <c r="T23" s="2" t="s">
        <v>113</v>
      </c>
      <c r="U23" s="2">
        <v>10.5</v>
      </c>
      <c r="V23" s="2" t="s">
        <v>35</v>
      </c>
      <c r="W23" s="2" t="s">
        <v>346</v>
      </c>
      <c r="X23" s="2" t="s">
        <v>292</v>
      </c>
      <c r="Y23" s="2" t="s">
        <v>38</v>
      </c>
      <c r="Z23" s="2">
        <v>1.2</v>
      </c>
      <c r="AA23" s="2">
        <v>1.15</v>
      </c>
      <c r="AB23" s="2">
        <v>1.25</v>
      </c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</row>
    <row r="24" ht="13.9" spans="1:57">
      <c r="A24" s="2">
        <v>522</v>
      </c>
      <c r="B24" s="2">
        <v>1</v>
      </c>
      <c r="C24" s="2"/>
      <c r="D24" s="2">
        <v>2022</v>
      </c>
      <c r="E24" s="2"/>
      <c r="F24" s="2" t="s">
        <v>347</v>
      </c>
      <c r="G24" s="2" t="s">
        <v>159</v>
      </c>
      <c r="H24" s="2" t="s">
        <v>159</v>
      </c>
      <c r="I24" s="2" t="s">
        <v>28</v>
      </c>
      <c r="J24" s="2" t="s">
        <v>49</v>
      </c>
      <c r="K24" s="2" t="s">
        <v>30</v>
      </c>
      <c r="L24" s="2"/>
      <c r="M24" s="2"/>
      <c r="N24" s="2" t="s">
        <v>41</v>
      </c>
      <c r="O24" s="2"/>
      <c r="P24" s="2"/>
      <c r="Q24" s="2" t="s">
        <v>348</v>
      </c>
      <c r="R24" s="2" t="s">
        <v>33</v>
      </c>
      <c r="S24" s="2"/>
      <c r="T24" s="2" t="s">
        <v>296</v>
      </c>
      <c r="U24" s="2">
        <v>0.5</v>
      </c>
      <c r="V24" s="2" t="s">
        <v>35</v>
      </c>
      <c r="W24" s="2" t="s">
        <v>349</v>
      </c>
      <c r="X24" s="2" t="s">
        <v>292</v>
      </c>
      <c r="Y24" s="2" t="s">
        <v>38</v>
      </c>
      <c r="Z24" s="2">
        <v>1.3</v>
      </c>
      <c r="AA24" s="2">
        <v>1.22</v>
      </c>
      <c r="AB24" s="2">
        <v>1.39</v>
      </c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</row>
    <row r="25" spans="1:57">
      <c r="A25" s="2">
        <v>548</v>
      </c>
      <c r="B25" s="2">
        <v>1</v>
      </c>
      <c r="C25" s="2"/>
      <c r="D25" s="2">
        <v>2019</v>
      </c>
      <c r="E25" s="2"/>
      <c r="F25" s="2" t="s">
        <v>334</v>
      </c>
      <c r="G25" s="2" t="s">
        <v>350</v>
      </c>
      <c r="H25" s="2" t="s">
        <v>350</v>
      </c>
      <c r="I25" s="2" t="s">
        <v>129</v>
      </c>
      <c r="J25" s="2" t="s">
        <v>130</v>
      </c>
      <c r="K25" s="2" t="s">
        <v>50</v>
      </c>
      <c r="L25" s="2"/>
      <c r="M25" s="2">
        <v>0.46</v>
      </c>
      <c r="N25" s="2" t="s">
        <v>31</v>
      </c>
      <c r="O25" s="2"/>
      <c r="P25" s="2"/>
      <c r="Q25" s="2" t="s">
        <v>351</v>
      </c>
      <c r="R25" s="2" t="s">
        <v>33</v>
      </c>
      <c r="S25" s="2"/>
      <c r="T25" s="2" t="s">
        <v>113</v>
      </c>
      <c r="U25" s="2">
        <v>10.5</v>
      </c>
      <c r="V25" s="2" t="s">
        <v>35</v>
      </c>
      <c r="W25" s="2" t="s">
        <v>292</v>
      </c>
      <c r="X25" s="2" t="s">
        <v>292</v>
      </c>
      <c r="Y25" s="2" t="s">
        <v>338</v>
      </c>
      <c r="Z25" s="2">
        <v>0.92</v>
      </c>
      <c r="AA25" s="2">
        <v>0.77</v>
      </c>
      <c r="AB25" s="2">
        <v>1.1</v>
      </c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</row>
    <row r="26" spans="1:57">
      <c r="A26" s="2">
        <v>548</v>
      </c>
      <c r="B26" s="2">
        <v>2</v>
      </c>
      <c r="C26" s="2"/>
      <c r="D26" s="2">
        <v>2019</v>
      </c>
      <c r="E26" s="2"/>
      <c r="F26" s="2" t="s">
        <v>339</v>
      </c>
      <c r="G26" s="2" t="s">
        <v>350</v>
      </c>
      <c r="H26" s="2" t="s">
        <v>350</v>
      </c>
      <c r="I26" s="2" t="s">
        <v>129</v>
      </c>
      <c r="J26" s="2" t="s">
        <v>130</v>
      </c>
      <c r="K26" s="2" t="s">
        <v>50</v>
      </c>
      <c r="L26" s="2"/>
      <c r="M26" s="2">
        <v>0.46</v>
      </c>
      <c r="N26" s="2" t="s">
        <v>31</v>
      </c>
      <c r="O26" s="2"/>
      <c r="P26" s="2"/>
      <c r="Q26" s="2" t="s">
        <v>351</v>
      </c>
      <c r="R26" s="2" t="s">
        <v>33</v>
      </c>
      <c r="S26" s="2"/>
      <c r="T26" s="2" t="s">
        <v>113</v>
      </c>
      <c r="U26" s="2">
        <v>10.5</v>
      </c>
      <c r="V26" s="2" t="s">
        <v>35</v>
      </c>
      <c r="W26" s="2" t="s">
        <v>292</v>
      </c>
      <c r="X26" s="2" t="s">
        <v>292</v>
      </c>
      <c r="Y26" s="2" t="s">
        <v>338</v>
      </c>
      <c r="Z26" s="2">
        <v>1.16</v>
      </c>
      <c r="AA26" s="2">
        <v>1</v>
      </c>
      <c r="AB26" s="2">
        <v>1.34</v>
      </c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</row>
    <row r="27" spans="1:57">
      <c r="A27" s="2">
        <v>548</v>
      </c>
      <c r="B27" s="2">
        <v>3</v>
      </c>
      <c r="C27" s="2"/>
      <c r="D27" s="2">
        <v>2019</v>
      </c>
      <c r="E27" s="2"/>
      <c r="F27" s="2" t="s">
        <v>352</v>
      </c>
      <c r="G27" s="2" t="s">
        <v>350</v>
      </c>
      <c r="H27" s="2" t="s">
        <v>350</v>
      </c>
      <c r="I27" s="2" t="s">
        <v>129</v>
      </c>
      <c r="J27" s="2" t="s">
        <v>130</v>
      </c>
      <c r="K27" s="2" t="s">
        <v>50</v>
      </c>
      <c r="L27" s="2"/>
      <c r="M27" s="2">
        <v>0.46</v>
      </c>
      <c r="N27" s="2" t="s">
        <v>31</v>
      </c>
      <c r="O27" s="2"/>
      <c r="P27" s="2"/>
      <c r="Q27" s="2" t="s">
        <v>351</v>
      </c>
      <c r="R27" s="2" t="s">
        <v>33</v>
      </c>
      <c r="S27" s="2"/>
      <c r="T27" s="2" t="s">
        <v>113</v>
      </c>
      <c r="U27" s="2">
        <v>10.5</v>
      </c>
      <c r="V27" s="2" t="s">
        <v>35</v>
      </c>
      <c r="W27" s="2" t="s">
        <v>292</v>
      </c>
      <c r="X27" s="2" t="s">
        <v>292</v>
      </c>
      <c r="Y27" s="2" t="s">
        <v>338</v>
      </c>
      <c r="Z27" s="2">
        <v>1.03</v>
      </c>
      <c r="AA27" s="2">
        <v>0.87</v>
      </c>
      <c r="AB27" s="2">
        <v>1.22</v>
      </c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</row>
    <row r="28" spans="1:57">
      <c r="A28" s="2">
        <v>548</v>
      </c>
      <c r="B28" s="2">
        <v>4</v>
      </c>
      <c r="C28" s="2"/>
      <c r="D28" s="2">
        <v>2019</v>
      </c>
      <c r="E28" s="2"/>
      <c r="F28" s="2" t="s">
        <v>341</v>
      </c>
      <c r="G28" s="2" t="s">
        <v>350</v>
      </c>
      <c r="H28" s="2" t="s">
        <v>350</v>
      </c>
      <c r="I28" s="2" t="s">
        <v>129</v>
      </c>
      <c r="J28" s="2" t="s">
        <v>130</v>
      </c>
      <c r="K28" s="2" t="s">
        <v>50</v>
      </c>
      <c r="L28" s="2"/>
      <c r="M28" s="2">
        <v>0.46</v>
      </c>
      <c r="N28" s="2" t="s">
        <v>31</v>
      </c>
      <c r="O28" s="2"/>
      <c r="P28" s="2"/>
      <c r="Q28" s="2" t="s">
        <v>351</v>
      </c>
      <c r="R28" s="2" t="s">
        <v>33</v>
      </c>
      <c r="S28" s="2"/>
      <c r="T28" s="2" t="s">
        <v>113</v>
      </c>
      <c r="U28" s="2">
        <v>10.5</v>
      </c>
      <c r="V28" s="2" t="s">
        <v>35</v>
      </c>
      <c r="W28" s="2" t="s">
        <v>292</v>
      </c>
      <c r="X28" s="2" t="s">
        <v>292</v>
      </c>
      <c r="Y28" s="2" t="s">
        <v>338</v>
      </c>
      <c r="Z28" s="2">
        <v>1.06</v>
      </c>
      <c r="AA28" s="2">
        <v>0.83</v>
      </c>
      <c r="AB28" s="2">
        <v>1.35</v>
      </c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</row>
    <row r="29" spans="1:57">
      <c r="A29" s="2">
        <v>548</v>
      </c>
      <c r="B29" s="2">
        <v>5</v>
      </c>
      <c r="C29" s="2"/>
      <c r="D29" s="2">
        <v>2019</v>
      </c>
      <c r="E29" s="2"/>
      <c r="F29" s="2" t="s">
        <v>342</v>
      </c>
      <c r="G29" s="2" t="s">
        <v>350</v>
      </c>
      <c r="H29" s="2" t="s">
        <v>350</v>
      </c>
      <c r="I29" s="2" t="s">
        <v>129</v>
      </c>
      <c r="J29" s="2" t="s">
        <v>130</v>
      </c>
      <c r="K29" s="2" t="s">
        <v>50</v>
      </c>
      <c r="L29" s="2"/>
      <c r="M29" s="2">
        <v>0.46</v>
      </c>
      <c r="N29" s="2" t="s">
        <v>31</v>
      </c>
      <c r="O29" s="2"/>
      <c r="P29" s="2"/>
      <c r="Q29" s="2" t="s">
        <v>351</v>
      </c>
      <c r="R29" s="2" t="s">
        <v>33</v>
      </c>
      <c r="S29" s="2"/>
      <c r="T29" s="2" t="s">
        <v>113</v>
      </c>
      <c r="U29" s="2">
        <v>10.5</v>
      </c>
      <c r="V29" s="2" t="s">
        <v>35</v>
      </c>
      <c r="W29" s="2" t="s">
        <v>292</v>
      </c>
      <c r="X29" s="2" t="s">
        <v>292</v>
      </c>
      <c r="Y29" s="2" t="s">
        <v>338</v>
      </c>
      <c r="Z29" s="2">
        <v>1.03</v>
      </c>
      <c r="AA29" s="2">
        <v>0.89</v>
      </c>
      <c r="AB29" s="2">
        <v>1.19</v>
      </c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</row>
    <row r="30" spans="1:57">
      <c r="A30" s="2">
        <v>548</v>
      </c>
      <c r="B30" s="2">
        <v>6</v>
      </c>
      <c r="C30" s="2"/>
      <c r="D30" s="2">
        <v>2019</v>
      </c>
      <c r="E30" s="2"/>
      <c r="F30" s="2" t="s">
        <v>353</v>
      </c>
      <c r="G30" s="2" t="s">
        <v>350</v>
      </c>
      <c r="H30" s="2" t="s">
        <v>350</v>
      </c>
      <c r="I30" s="2" t="s">
        <v>129</v>
      </c>
      <c r="J30" s="2" t="s">
        <v>130</v>
      </c>
      <c r="K30" s="2" t="s">
        <v>50</v>
      </c>
      <c r="L30" s="2"/>
      <c r="M30" s="2">
        <v>0.46</v>
      </c>
      <c r="N30" s="2" t="s">
        <v>31</v>
      </c>
      <c r="O30" s="2"/>
      <c r="P30" s="2"/>
      <c r="Q30" s="2" t="s">
        <v>351</v>
      </c>
      <c r="R30" s="2" t="s">
        <v>33</v>
      </c>
      <c r="S30" s="2"/>
      <c r="T30" s="2" t="s">
        <v>113</v>
      </c>
      <c r="U30" s="2">
        <v>10.5</v>
      </c>
      <c r="V30" s="2" t="s">
        <v>35</v>
      </c>
      <c r="W30" s="2" t="s">
        <v>292</v>
      </c>
      <c r="X30" s="2" t="s">
        <v>292</v>
      </c>
      <c r="Y30" s="2" t="s">
        <v>338</v>
      </c>
      <c r="Z30" s="2">
        <v>1.18</v>
      </c>
      <c r="AA30" s="2">
        <v>1.05</v>
      </c>
      <c r="AB30" s="2">
        <v>1.32</v>
      </c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</row>
    <row r="31" spans="1:57">
      <c r="A31" s="2">
        <v>574</v>
      </c>
      <c r="B31" s="2">
        <v>1</v>
      </c>
      <c r="C31" s="2"/>
      <c r="D31" s="2">
        <v>2006</v>
      </c>
      <c r="E31" s="2"/>
      <c r="F31" s="2" t="s">
        <v>26</v>
      </c>
      <c r="G31" s="2" t="s">
        <v>47</v>
      </c>
      <c r="H31" s="2" t="s">
        <v>47</v>
      </c>
      <c r="I31" s="2" t="s">
        <v>48</v>
      </c>
      <c r="J31" s="2" t="s">
        <v>49</v>
      </c>
      <c r="K31" s="2" t="s">
        <v>50</v>
      </c>
      <c r="L31" s="2"/>
      <c r="M31" s="2"/>
      <c r="N31" s="2" t="s">
        <v>41</v>
      </c>
      <c r="O31" s="2"/>
      <c r="P31" s="2"/>
      <c r="Q31" s="2" t="s">
        <v>354</v>
      </c>
      <c r="R31" s="2" t="s">
        <v>33</v>
      </c>
      <c r="S31" s="2"/>
      <c r="T31" s="2"/>
      <c r="U31" s="2"/>
      <c r="V31" s="2" t="s">
        <v>139</v>
      </c>
      <c r="W31" s="2" t="s">
        <v>324</v>
      </c>
      <c r="X31" s="2" t="s">
        <v>292</v>
      </c>
      <c r="Y31" s="2" t="s">
        <v>146</v>
      </c>
      <c r="Z31" s="2">
        <v>1.02</v>
      </c>
      <c r="AA31" s="2">
        <v>1.005</v>
      </c>
      <c r="AB31" s="2">
        <v>1.034</v>
      </c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</row>
    <row r="32" spans="1:57">
      <c r="A32" s="2">
        <v>824</v>
      </c>
      <c r="B32" s="2">
        <v>1</v>
      </c>
      <c r="C32" s="2"/>
      <c r="D32" s="2">
        <v>2016</v>
      </c>
      <c r="E32" s="2"/>
      <c r="F32" s="2" t="s">
        <v>26</v>
      </c>
      <c r="G32" s="2" t="s">
        <v>245</v>
      </c>
      <c r="H32" s="2" t="s">
        <v>245</v>
      </c>
      <c r="I32" s="2" t="s">
        <v>28</v>
      </c>
      <c r="J32" s="2" t="s">
        <v>29</v>
      </c>
      <c r="K32" s="2" t="s">
        <v>50</v>
      </c>
      <c r="L32" s="2"/>
      <c r="M32" s="2">
        <v>0.339</v>
      </c>
      <c r="N32" s="2" t="s">
        <v>41</v>
      </c>
      <c r="O32" s="2"/>
      <c r="P32" s="2"/>
      <c r="Q32" s="2" t="s">
        <v>355</v>
      </c>
      <c r="R32" s="2" t="s">
        <v>33</v>
      </c>
      <c r="S32" s="2"/>
      <c r="T32" s="2" t="s">
        <v>113</v>
      </c>
      <c r="U32" s="2">
        <v>10.5</v>
      </c>
      <c r="V32" s="2" t="s">
        <v>35</v>
      </c>
      <c r="W32" s="2" t="s">
        <v>356</v>
      </c>
      <c r="X32" s="2" t="s">
        <v>292</v>
      </c>
      <c r="Y32" s="2" t="s">
        <v>38</v>
      </c>
      <c r="Z32" s="2">
        <v>1</v>
      </c>
      <c r="AA32" s="2">
        <v>0.92</v>
      </c>
      <c r="AB32" s="2">
        <v>1.1</v>
      </c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</row>
    <row r="33" spans="1:57">
      <c r="A33" s="2">
        <v>893</v>
      </c>
      <c r="B33" s="2">
        <v>1</v>
      </c>
      <c r="C33" s="2"/>
      <c r="D33" s="2">
        <v>2022</v>
      </c>
      <c r="E33" s="2"/>
      <c r="F33" s="2" t="s">
        <v>212</v>
      </c>
      <c r="G33" s="2" t="s">
        <v>357</v>
      </c>
      <c r="H33" s="2" t="s">
        <v>358</v>
      </c>
      <c r="I33" s="2" t="s">
        <v>129</v>
      </c>
      <c r="J33" s="2" t="s">
        <v>330</v>
      </c>
      <c r="K33" s="2" t="s">
        <v>50</v>
      </c>
      <c r="L33" s="2"/>
      <c r="M33" s="2">
        <v>0.5</v>
      </c>
      <c r="N33" s="2" t="s">
        <v>31</v>
      </c>
      <c r="O33" s="2"/>
      <c r="P33" s="2"/>
      <c r="Q33" s="2" t="s">
        <v>359</v>
      </c>
      <c r="R33" s="2" t="s">
        <v>33</v>
      </c>
      <c r="S33" s="2"/>
      <c r="T33" s="2">
        <v>1</v>
      </c>
      <c r="U33" s="2">
        <v>0.5</v>
      </c>
      <c r="V33" s="2" t="s">
        <v>35</v>
      </c>
      <c r="W33" s="2" t="s">
        <v>313</v>
      </c>
      <c r="X33" s="2" t="s">
        <v>292</v>
      </c>
      <c r="Y33" s="2" t="s">
        <v>338</v>
      </c>
      <c r="Z33" s="2">
        <v>1.03</v>
      </c>
      <c r="AA33" s="2">
        <v>1</v>
      </c>
      <c r="AB33" s="2">
        <v>1.05</v>
      </c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</row>
    <row r="34" spans="1:57">
      <c r="A34" s="2">
        <v>893</v>
      </c>
      <c r="B34" s="2">
        <v>2</v>
      </c>
      <c r="C34" s="2"/>
      <c r="D34" s="2">
        <v>2022</v>
      </c>
      <c r="E34" s="2"/>
      <c r="F34" s="2" t="s">
        <v>222</v>
      </c>
      <c r="G34" s="2" t="s">
        <v>357</v>
      </c>
      <c r="H34" s="2" t="s">
        <v>358</v>
      </c>
      <c r="I34" s="2" t="s">
        <v>129</v>
      </c>
      <c r="J34" s="2" t="s">
        <v>330</v>
      </c>
      <c r="K34" s="2" t="s">
        <v>50</v>
      </c>
      <c r="L34" s="2"/>
      <c r="M34" s="2">
        <v>0.5</v>
      </c>
      <c r="N34" s="2" t="s">
        <v>31</v>
      </c>
      <c r="O34" s="2"/>
      <c r="P34" s="2"/>
      <c r="Q34" s="2" t="s">
        <v>359</v>
      </c>
      <c r="R34" s="2" t="s">
        <v>33</v>
      </c>
      <c r="S34" s="2"/>
      <c r="T34" s="2">
        <v>1</v>
      </c>
      <c r="U34" s="2">
        <v>0.5</v>
      </c>
      <c r="V34" s="2" t="s">
        <v>35</v>
      </c>
      <c r="W34" s="2" t="s">
        <v>313</v>
      </c>
      <c r="X34" s="2" t="s">
        <v>292</v>
      </c>
      <c r="Y34" s="2" t="s">
        <v>338</v>
      </c>
      <c r="Z34" s="2">
        <v>1.04</v>
      </c>
      <c r="AA34" s="2">
        <v>1.02</v>
      </c>
      <c r="AB34" s="2">
        <v>1.05</v>
      </c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</row>
    <row r="35" spans="1:57">
      <c r="A35" s="2">
        <v>893</v>
      </c>
      <c r="B35" s="2">
        <v>3</v>
      </c>
      <c r="C35" s="2"/>
      <c r="D35" s="2">
        <v>2022</v>
      </c>
      <c r="E35" s="2"/>
      <c r="F35" s="2" t="s">
        <v>224</v>
      </c>
      <c r="G35" s="2" t="s">
        <v>357</v>
      </c>
      <c r="H35" s="2" t="s">
        <v>358</v>
      </c>
      <c r="I35" s="2" t="s">
        <v>129</v>
      </c>
      <c r="J35" s="2" t="s">
        <v>330</v>
      </c>
      <c r="K35" s="2" t="s">
        <v>50</v>
      </c>
      <c r="L35" s="2"/>
      <c r="M35" s="2">
        <v>0.5</v>
      </c>
      <c r="N35" s="2" t="s">
        <v>31</v>
      </c>
      <c r="O35" s="2"/>
      <c r="P35" s="2"/>
      <c r="Q35" s="2" t="s">
        <v>359</v>
      </c>
      <c r="R35" s="2" t="s">
        <v>33</v>
      </c>
      <c r="S35" s="2"/>
      <c r="T35" s="2">
        <v>1</v>
      </c>
      <c r="U35" s="2">
        <v>0.5</v>
      </c>
      <c r="V35" s="2" t="s">
        <v>35</v>
      </c>
      <c r="W35" s="2" t="s">
        <v>313</v>
      </c>
      <c r="X35" s="2" t="s">
        <v>292</v>
      </c>
      <c r="Y35" s="2" t="s">
        <v>338</v>
      </c>
      <c r="Z35" s="2">
        <v>1.06</v>
      </c>
      <c r="AA35" s="2">
        <v>1.03</v>
      </c>
      <c r="AB35" s="2">
        <v>1.08</v>
      </c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</row>
    <row r="36" spans="1:57">
      <c r="A36" s="2">
        <v>895</v>
      </c>
      <c r="B36" s="2">
        <v>1</v>
      </c>
      <c r="C36" s="2"/>
      <c r="D36" s="2">
        <v>2014</v>
      </c>
      <c r="E36" s="2"/>
      <c r="F36" s="2" t="s">
        <v>26</v>
      </c>
      <c r="G36" s="2" t="s">
        <v>360</v>
      </c>
      <c r="H36" s="2" t="s">
        <v>360</v>
      </c>
      <c r="I36" s="2" t="s">
        <v>28</v>
      </c>
      <c r="J36" s="2" t="s">
        <v>29</v>
      </c>
      <c r="K36" s="2" t="s">
        <v>30</v>
      </c>
      <c r="L36" s="2"/>
      <c r="M36" s="2"/>
      <c r="N36" s="2" t="s">
        <v>31</v>
      </c>
      <c r="O36" s="2"/>
      <c r="P36" s="2"/>
      <c r="Q36" s="2" t="s">
        <v>361</v>
      </c>
      <c r="R36" s="2" t="s">
        <v>33</v>
      </c>
      <c r="S36" s="2"/>
      <c r="T36" s="2" t="s">
        <v>120</v>
      </c>
      <c r="U36" s="2">
        <v>1.5</v>
      </c>
      <c r="V36" s="2" t="s">
        <v>35</v>
      </c>
      <c r="W36" s="2" t="s">
        <v>362</v>
      </c>
      <c r="X36" s="2" t="s">
        <v>292</v>
      </c>
      <c r="Y36" s="2" t="s">
        <v>38</v>
      </c>
      <c r="Z36" s="2">
        <v>1.38</v>
      </c>
      <c r="AA36" s="2">
        <v>1.21</v>
      </c>
      <c r="AB36" s="2">
        <v>1.58</v>
      </c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</row>
    <row r="37" spans="1:57">
      <c r="A37" s="2">
        <v>933</v>
      </c>
      <c r="B37" s="2">
        <v>1</v>
      </c>
      <c r="C37" s="2" t="s">
        <v>363</v>
      </c>
      <c r="D37" s="2">
        <v>2024</v>
      </c>
      <c r="E37" s="2" t="s">
        <v>364</v>
      </c>
      <c r="F37" s="2" t="s">
        <v>365</v>
      </c>
      <c r="G37" s="2" t="s">
        <v>366</v>
      </c>
      <c r="H37" s="2" t="s">
        <v>367</v>
      </c>
      <c r="I37" s="2" t="s">
        <v>129</v>
      </c>
      <c r="J37" s="2" t="s">
        <v>330</v>
      </c>
      <c r="K37" s="2" t="s">
        <v>50</v>
      </c>
      <c r="L37" s="2" t="s">
        <v>368</v>
      </c>
      <c r="M37" s="2" t="s">
        <v>101</v>
      </c>
      <c r="N37" s="2" t="s">
        <v>31</v>
      </c>
      <c r="O37" s="2"/>
      <c r="P37" s="2" t="s">
        <v>369</v>
      </c>
      <c r="Q37" s="2" t="s">
        <v>370</v>
      </c>
      <c r="R37" s="2" t="s">
        <v>33</v>
      </c>
      <c r="S37" s="2"/>
      <c r="T37" s="2">
        <v>3</v>
      </c>
      <c r="U37" s="2">
        <v>1.5</v>
      </c>
      <c r="V37" s="2" t="s">
        <v>35</v>
      </c>
      <c r="W37" s="2" t="s">
        <v>324</v>
      </c>
      <c r="X37" s="2" t="s">
        <v>292</v>
      </c>
      <c r="Y37" s="2" t="s">
        <v>38</v>
      </c>
      <c r="Z37" s="2">
        <v>1.38</v>
      </c>
      <c r="AA37" s="2">
        <v>1.25</v>
      </c>
      <c r="AB37" s="2">
        <v>1.53</v>
      </c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</row>
    <row r="38" spans="1:57">
      <c r="A38" s="2">
        <v>1103</v>
      </c>
      <c r="B38" s="2">
        <v>1</v>
      </c>
      <c r="C38" s="2"/>
      <c r="D38" s="2"/>
      <c r="E38" s="2"/>
      <c r="F38" s="2" t="s">
        <v>181</v>
      </c>
      <c r="G38" s="2" t="s">
        <v>182</v>
      </c>
      <c r="H38" s="2" t="s">
        <v>100</v>
      </c>
      <c r="I38" s="2" t="s">
        <v>28</v>
      </c>
      <c r="J38" s="2" t="s">
        <v>40</v>
      </c>
      <c r="K38" s="2" t="s">
        <v>50</v>
      </c>
      <c r="L38" s="2">
        <v>75438</v>
      </c>
      <c r="M38" s="2" t="s">
        <v>101</v>
      </c>
      <c r="N38" s="2" t="s">
        <v>31</v>
      </c>
      <c r="O38" s="2" t="s">
        <v>184</v>
      </c>
      <c r="P38" s="2" t="s">
        <v>61</v>
      </c>
      <c r="Q38" s="2" t="s">
        <v>185</v>
      </c>
      <c r="R38" s="2" t="s">
        <v>33</v>
      </c>
      <c r="S38" s="2" t="s">
        <v>186</v>
      </c>
      <c r="T38" s="2" t="s">
        <v>187</v>
      </c>
      <c r="U38" s="2">
        <v>7</v>
      </c>
      <c r="V38" s="2" t="s">
        <v>35</v>
      </c>
      <c r="W38" s="2" t="s">
        <v>371</v>
      </c>
      <c r="X38" s="2" t="s">
        <v>292</v>
      </c>
      <c r="Y38" s="2" t="s">
        <v>38</v>
      </c>
      <c r="Z38" s="2">
        <v>1.18</v>
      </c>
      <c r="AA38" s="2">
        <v>1.04</v>
      </c>
      <c r="AB38" s="2">
        <v>1.34</v>
      </c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</row>
    <row r="39" spans="1:57">
      <c r="A39" s="2">
        <v>1103</v>
      </c>
      <c r="B39" s="2">
        <v>2</v>
      </c>
      <c r="C39" s="2"/>
      <c r="D39" s="2"/>
      <c r="E39" s="2"/>
      <c r="F39" s="2" t="s">
        <v>181</v>
      </c>
      <c r="G39" s="2" t="s">
        <v>182</v>
      </c>
      <c r="H39" s="2" t="s">
        <v>100</v>
      </c>
      <c r="I39" s="2" t="s">
        <v>28</v>
      </c>
      <c r="J39" s="2" t="s">
        <v>40</v>
      </c>
      <c r="K39" s="2" t="s">
        <v>50</v>
      </c>
      <c r="L39" s="2">
        <v>26690</v>
      </c>
      <c r="M39" s="2" t="s">
        <v>101</v>
      </c>
      <c r="N39" s="2" t="s">
        <v>31</v>
      </c>
      <c r="O39" s="2" t="s">
        <v>184</v>
      </c>
      <c r="P39" s="2" t="s">
        <v>61</v>
      </c>
      <c r="Q39" s="2" t="s">
        <v>185</v>
      </c>
      <c r="R39" s="2" t="s">
        <v>33</v>
      </c>
      <c r="S39" s="2" t="s">
        <v>186</v>
      </c>
      <c r="T39" s="2" t="s">
        <v>187</v>
      </c>
      <c r="U39" s="2">
        <v>7</v>
      </c>
      <c r="V39" s="2" t="s">
        <v>35</v>
      </c>
      <c r="W39" s="2" t="s">
        <v>371</v>
      </c>
      <c r="X39" s="2" t="s">
        <v>292</v>
      </c>
      <c r="Y39" s="2" t="s">
        <v>38</v>
      </c>
      <c r="Z39" s="2">
        <v>0.93</v>
      </c>
      <c r="AA39" s="2">
        <v>0.86</v>
      </c>
      <c r="AB39" s="2">
        <v>1</v>
      </c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</row>
    <row r="40" spans="1:57">
      <c r="A40" s="2">
        <v>1144</v>
      </c>
      <c r="B40" s="2">
        <v>1</v>
      </c>
      <c r="C40" s="2" t="s">
        <v>372</v>
      </c>
      <c r="D40" s="2" t="s">
        <v>373</v>
      </c>
      <c r="E40" s="2"/>
      <c r="F40" s="2" t="s">
        <v>181</v>
      </c>
      <c r="G40" s="2" t="s">
        <v>374</v>
      </c>
      <c r="H40" s="2" t="s">
        <v>375</v>
      </c>
      <c r="I40" s="2" t="s">
        <v>309</v>
      </c>
      <c r="J40" s="2" t="s">
        <v>199</v>
      </c>
      <c r="K40" s="2" t="s">
        <v>30</v>
      </c>
      <c r="L40" s="2">
        <v>82553</v>
      </c>
      <c r="M40" s="2" t="s">
        <v>101</v>
      </c>
      <c r="N40" s="2" t="s">
        <v>31</v>
      </c>
      <c r="O40" s="2" t="s">
        <v>376</v>
      </c>
      <c r="P40" s="2" t="s">
        <v>377</v>
      </c>
      <c r="Q40" s="2" t="s">
        <v>229</v>
      </c>
      <c r="R40" s="2" t="s">
        <v>33</v>
      </c>
      <c r="S40" s="2" t="s">
        <v>378</v>
      </c>
      <c r="T40" s="2" t="s">
        <v>113</v>
      </c>
      <c r="U40" s="2">
        <v>10.5</v>
      </c>
      <c r="V40" s="2" t="s">
        <v>231</v>
      </c>
      <c r="W40" s="2" t="s">
        <v>379</v>
      </c>
      <c r="X40" s="2" t="s">
        <v>292</v>
      </c>
      <c r="Y40" s="2" t="s">
        <v>38</v>
      </c>
      <c r="Z40" s="2">
        <v>1.23</v>
      </c>
      <c r="AA40" s="2">
        <v>1.13</v>
      </c>
      <c r="AB40" s="2">
        <v>1.34</v>
      </c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</row>
    <row r="41" spans="1:57">
      <c r="A41" s="2">
        <v>1144</v>
      </c>
      <c r="B41" s="2">
        <v>2</v>
      </c>
      <c r="C41" s="2"/>
      <c r="D41" s="2"/>
      <c r="E41" s="2"/>
      <c r="F41" s="2" t="s">
        <v>181</v>
      </c>
      <c r="G41" s="2" t="s">
        <v>380</v>
      </c>
      <c r="H41" s="2" t="s">
        <v>381</v>
      </c>
      <c r="I41" s="2" t="s">
        <v>309</v>
      </c>
      <c r="J41" s="2" t="s">
        <v>199</v>
      </c>
      <c r="K41" s="2" t="s">
        <v>30</v>
      </c>
      <c r="L41" s="2">
        <v>35572</v>
      </c>
      <c r="M41" s="2" t="s">
        <v>101</v>
      </c>
      <c r="N41" s="2" t="s">
        <v>31</v>
      </c>
      <c r="O41" s="2" t="s">
        <v>376</v>
      </c>
      <c r="P41" s="2" t="s">
        <v>377</v>
      </c>
      <c r="Q41" s="2" t="s">
        <v>229</v>
      </c>
      <c r="R41" s="2" t="s">
        <v>33</v>
      </c>
      <c r="S41" s="2" t="s">
        <v>378</v>
      </c>
      <c r="T41" s="2" t="s">
        <v>113</v>
      </c>
      <c r="U41" s="2">
        <v>10.5</v>
      </c>
      <c r="V41" s="2" t="s">
        <v>231</v>
      </c>
      <c r="W41" s="2" t="s">
        <v>379</v>
      </c>
      <c r="X41" s="2" t="s">
        <v>292</v>
      </c>
      <c r="Y41" s="2" t="s">
        <v>38</v>
      </c>
      <c r="Z41" s="2">
        <v>1.07</v>
      </c>
      <c r="AA41" s="2">
        <v>0.85</v>
      </c>
      <c r="AB41" s="2">
        <v>1.34</v>
      </c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</row>
    <row r="42" spans="1:57">
      <c r="A42" s="2">
        <v>1144</v>
      </c>
      <c r="B42" s="2">
        <v>3</v>
      </c>
      <c r="C42" s="2"/>
      <c r="D42" s="2"/>
      <c r="E42" s="2"/>
      <c r="F42" s="2" t="s">
        <v>181</v>
      </c>
      <c r="G42" s="2" t="s">
        <v>382</v>
      </c>
      <c r="H42" s="2" t="s">
        <v>383</v>
      </c>
      <c r="I42" s="2" t="s">
        <v>309</v>
      </c>
      <c r="J42" s="2" t="s">
        <v>199</v>
      </c>
      <c r="K42" s="2" t="s">
        <v>30</v>
      </c>
      <c r="L42" s="2">
        <v>30876</v>
      </c>
      <c r="M42" s="2" t="s">
        <v>101</v>
      </c>
      <c r="N42" s="2" t="s">
        <v>31</v>
      </c>
      <c r="O42" s="2" t="s">
        <v>376</v>
      </c>
      <c r="P42" s="2" t="s">
        <v>377</v>
      </c>
      <c r="Q42" s="2" t="s">
        <v>229</v>
      </c>
      <c r="R42" s="2" t="s">
        <v>33</v>
      </c>
      <c r="S42" s="2" t="s">
        <v>378</v>
      </c>
      <c r="T42" s="2" t="s">
        <v>113</v>
      </c>
      <c r="U42" s="2">
        <v>10.5</v>
      </c>
      <c r="V42" s="2" t="s">
        <v>231</v>
      </c>
      <c r="W42" s="2" t="s">
        <v>379</v>
      </c>
      <c r="X42" s="2" t="s">
        <v>292</v>
      </c>
      <c r="Y42" s="2" t="s">
        <v>38</v>
      </c>
      <c r="Z42" s="2">
        <v>1.07</v>
      </c>
      <c r="AA42" s="2">
        <v>0.65</v>
      </c>
      <c r="AB42" s="2">
        <v>1.78</v>
      </c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</row>
    <row r="43" spans="1:57">
      <c r="A43" s="2">
        <v>1144</v>
      </c>
      <c r="B43" s="2">
        <v>4</v>
      </c>
      <c r="C43" s="2"/>
      <c r="D43" s="2"/>
      <c r="E43" s="2"/>
      <c r="F43" s="2" t="s">
        <v>181</v>
      </c>
      <c r="G43" s="2" t="s">
        <v>384</v>
      </c>
      <c r="H43" s="2" t="s">
        <v>385</v>
      </c>
      <c r="I43" s="2" t="s">
        <v>309</v>
      </c>
      <c r="J43" s="2" t="s">
        <v>199</v>
      </c>
      <c r="K43" s="2" t="s">
        <v>30</v>
      </c>
      <c r="L43" s="2">
        <v>33459</v>
      </c>
      <c r="M43" s="2" t="s">
        <v>101</v>
      </c>
      <c r="N43" s="2" t="s">
        <v>31</v>
      </c>
      <c r="O43" s="2" t="s">
        <v>376</v>
      </c>
      <c r="P43" s="2" t="s">
        <v>377</v>
      </c>
      <c r="Q43" s="2" t="s">
        <v>229</v>
      </c>
      <c r="R43" s="2" t="s">
        <v>33</v>
      </c>
      <c r="S43" s="2" t="s">
        <v>378</v>
      </c>
      <c r="T43" s="2" t="s">
        <v>113</v>
      </c>
      <c r="U43" s="2">
        <v>10.5</v>
      </c>
      <c r="V43" s="2" t="s">
        <v>231</v>
      </c>
      <c r="W43" s="2" t="s">
        <v>379</v>
      </c>
      <c r="X43" s="2" t="s">
        <v>292</v>
      </c>
      <c r="Y43" s="2" t="s">
        <v>38</v>
      </c>
      <c r="Z43" s="2">
        <v>1.12</v>
      </c>
      <c r="AA43" s="2">
        <v>0.92</v>
      </c>
      <c r="AB43" s="2">
        <v>1.36</v>
      </c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</row>
    <row r="44" spans="1:57">
      <c r="A44" s="2">
        <v>1144</v>
      </c>
      <c r="B44" s="2">
        <v>5</v>
      </c>
      <c r="C44" s="2"/>
      <c r="D44" s="2"/>
      <c r="E44" s="2"/>
      <c r="F44" s="2" t="s">
        <v>181</v>
      </c>
      <c r="G44" s="2" t="s">
        <v>386</v>
      </c>
      <c r="H44" s="2" t="s">
        <v>387</v>
      </c>
      <c r="I44" s="2" t="s">
        <v>309</v>
      </c>
      <c r="J44" s="2" t="s">
        <v>199</v>
      </c>
      <c r="K44" s="2" t="s">
        <v>30</v>
      </c>
      <c r="L44" s="2">
        <v>27367</v>
      </c>
      <c r="M44" s="2" t="s">
        <v>101</v>
      </c>
      <c r="N44" s="2" t="s">
        <v>31</v>
      </c>
      <c r="O44" s="2" t="s">
        <v>376</v>
      </c>
      <c r="P44" s="2" t="s">
        <v>377</v>
      </c>
      <c r="Q44" s="2" t="s">
        <v>229</v>
      </c>
      <c r="R44" s="2" t="s">
        <v>33</v>
      </c>
      <c r="S44" s="2" t="s">
        <v>378</v>
      </c>
      <c r="T44" s="2" t="s">
        <v>113</v>
      </c>
      <c r="U44" s="2">
        <v>10.5</v>
      </c>
      <c r="V44" s="2" t="s">
        <v>231</v>
      </c>
      <c r="W44" s="2" t="s">
        <v>379</v>
      </c>
      <c r="X44" s="2" t="s">
        <v>292</v>
      </c>
      <c r="Y44" s="2" t="s">
        <v>38</v>
      </c>
      <c r="Z44" s="2">
        <v>1.1</v>
      </c>
      <c r="AA44" s="2">
        <v>0.86</v>
      </c>
      <c r="AB44" s="2">
        <v>1.42</v>
      </c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</row>
    <row r="45" spans="1:57">
      <c r="A45" s="2">
        <v>1144</v>
      </c>
      <c r="B45" s="2">
        <v>6</v>
      </c>
      <c r="C45" s="2"/>
      <c r="D45" s="2"/>
      <c r="E45" s="2"/>
      <c r="F45" s="2" t="s">
        <v>181</v>
      </c>
      <c r="G45" s="2" t="s">
        <v>388</v>
      </c>
      <c r="H45" s="2" t="s">
        <v>389</v>
      </c>
      <c r="I45" s="2" t="s">
        <v>309</v>
      </c>
      <c r="J45" s="2" t="s">
        <v>199</v>
      </c>
      <c r="K45" s="2" t="s">
        <v>30</v>
      </c>
      <c r="L45" s="2">
        <v>32554</v>
      </c>
      <c r="M45" s="2" t="s">
        <v>101</v>
      </c>
      <c r="N45" s="2" t="s">
        <v>31</v>
      </c>
      <c r="O45" s="2" t="s">
        <v>376</v>
      </c>
      <c r="P45" s="2" t="s">
        <v>377</v>
      </c>
      <c r="Q45" s="2" t="s">
        <v>229</v>
      </c>
      <c r="R45" s="2" t="s">
        <v>33</v>
      </c>
      <c r="S45" s="2" t="s">
        <v>378</v>
      </c>
      <c r="T45" s="2" t="s">
        <v>113</v>
      </c>
      <c r="U45" s="2">
        <v>10.5</v>
      </c>
      <c r="V45" s="2" t="s">
        <v>231</v>
      </c>
      <c r="W45" s="2" t="s">
        <v>379</v>
      </c>
      <c r="X45" s="2" t="s">
        <v>292</v>
      </c>
      <c r="Y45" s="2" t="s">
        <v>38</v>
      </c>
      <c r="Z45" s="2">
        <v>1.19</v>
      </c>
      <c r="AA45" s="2">
        <v>1.02</v>
      </c>
      <c r="AB45" s="2">
        <v>1.4</v>
      </c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</row>
    <row r="46" spans="1:57">
      <c r="A46" s="2">
        <v>1144</v>
      </c>
      <c r="B46" s="2">
        <v>7</v>
      </c>
      <c r="C46" s="2"/>
      <c r="D46" s="2"/>
      <c r="E46" s="2"/>
      <c r="F46" s="2" t="s">
        <v>181</v>
      </c>
      <c r="G46" s="2" t="s">
        <v>390</v>
      </c>
      <c r="H46" s="2" t="s">
        <v>391</v>
      </c>
      <c r="I46" s="2" t="s">
        <v>309</v>
      </c>
      <c r="J46" s="2" t="s">
        <v>199</v>
      </c>
      <c r="K46" s="2" t="s">
        <v>30</v>
      </c>
      <c r="L46" s="2">
        <v>147691</v>
      </c>
      <c r="M46" s="2" t="s">
        <v>101</v>
      </c>
      <c r="N46" s="2" t="s">
        <v>31</v>
      </c>
      <c r="O46" s="2" t="s">
        <v>376</v>
      </c>
      <c r="P46" s="2" t="s">
        <v>377</v>
      </c>
      <c r="Q46" s="2" t="s">
        <v>229</v>
      </c>
      <c r="R46" s="2" t="s">
        <v>33</v>
      </c>
      <c r="S46" s="2" t="s">
        <v>378</v>
      </c>
      <c r="T46" s="2" t="s">
        <v>113</v>
      </c>
      <c r="U46" s="2">
        <v>10.5</v>
      </c>
      <c r="V46" s="2" t="s">
        <v>231</v>
      </c>
      <c r="W46" s="2" t="s">
        <v>379</v>
      </c>
      <c r="X46" s="2" t="s">
        <v>292</v>
      </c>
      <c r="Y46" s="2" t="s">
        <v>38</v>
      </c>
      <c r="Z46" s="2">
        <v>1.09</v>
      </c>
      <c r="AA46" s="2">
        <v>0.94</v>
      </c>
      <c r="AB46" s="2">
        <v>1.26</v>
      </c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</row>
    <row r="47" spans="1:57">
      <c r="A47" s="2">
        <v>1144</v>
      </c>
      <c r="B47" s="2">
        <v>8</v>
      </c>
      <c r="C47" s="2"/>
      <c r="D47" s="2"/>
      <c r="E47" s="2"/>
      <c r="F47" s="2" t="s">
        <v>181</v>
      </c>
      <c r="G47" s="2" t="s">
        <v>392</v>
      </c>
      <c r="H47" s="2" t="s">
        <v>393</v>
      </c>
      <c r="I47" s="2" t="s">
        <v>309</v>
      </c>
      <c r="J47" s="2" t="s">
        <v>199</v>
      </c>
      <c r="K47" s="2" t="s">
        <v>30</v>
      </c>
      <c r="L47" s="2">
        <v>47464</v>
      </c>
      <c r="M47" s="2" t="s">
        <v>101</v>
      </c>
      <c r="N47" s="2" t="s">
        <v>31</v>
      </c>
      <c r="O47" s="2" t="s">
        <v>376</v>
      </c>
      <c r="P47" s="2" t="s">
        <v>377</v>
      </c>
      <c r="Q47" s="2" t="s">
        <v>229</v>
      </c>
      <c r="R47" s="2" t="s">
        <v>33</v>
      </c>
      <c r="S47" s="2" t="s">
        <v>378</v>
      </c>
      <c r="T47" s="2" t="s">
        <v>113</v>
      </c>
      <c r="U47" s="2">
        <v>10.5</v>
      </c>
      <c r="V47" s="2" t="s">
        <v>231</v>
      </c>
      <c r="W47" s="2" t="s">
        <v>379</v>
      </c>
      <c r="X47" s="2" t="s">
        <v>292</v>
      </c>
      <c r="Y47" s="2" t="s">
        <v>38</v>
      </c>
      <c r="Z47" s="2">
        <v>1.11</v>
      </c>
      <c r="AA47" s="2">
        <v>0.94</v>
      </c>
      <c r="AB47" s="2">
        <v>1.31</v>
      </c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</row>
    <row r="48" spans="1:57">
      <c r="A48" s="2">
        <v>1144</v>
      </c>
      <c r="B48" s="2">
        <v>9</v>
      </c>
      <c r="C48" s="2"/>
      <c r="D48" s="2"/>
      <c r="E48" s="2"/>
      <c r="F48" s="2" t="s">
        <v>181</v>
      </c>
      <c r="G48" s="2" t="s">
        <v>394</v>
      </c>
      <c r="H48" s="2" t="s">
        <v>395</v>
      </c>
      <c r="I48" s="2" t="s">
        <v>309</v>
      </c>
      <c r="J48" s="2" t="s">
        <v>199</v>
      </c>
      <c r="K48" s="2" t="s">
        <v>30</v>
      </c>
      <c r="L48" s="2">
        <v>54591</v>
      </c>
      <c r="M48" s="2" t="s">
        <v>101</v>
      </c>
      <c r="N48" s="2" t="s">
        <v>31</v>
      </c>
      <c r="O48" s="2" t="s">
        <v>376</v>
      </c>
      <c r="P48" s="2" t="s">
        <v>377</v>
      </c>
      <c r="Q48" s="2" t="s">
        <v>229</v>
      </c>
      <c r="R48" s="2" t="s">
        <v>33</v>
      </c>
      <c r="S48" s="2" t="s">
        <v>378</v>
      </c>
      <c r="T48" s="2" t="s">
        <v>113</v>
      </c>
      <c r="U48" s="2">
        <v>10.5</v>
      </c>
      <c r="V48" s="2" t="s">
        <v>231</v>
      </c>
      <c r="W48" s="2" t="s">
        <v>379</v>
      </c>
      <c r="X48" s="2" t="s">
        <v>292</v>
      </c>
      <c r="Y48" s="2" t="s">
        <v>38</v>
      </c>
      <c r="Z48" s="2">
        <v>1.14</v>
      </c>
      <c r="AA48" s="2">
        <v>0.71</v>
      </c>
      <c r="AB48" s="2">
        <v>1.83</v>
      </c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</row>
    <row r="49" spans="1:57">
      <c r="A49" s="2">
        <v>1144</v>
      </c>
      <c r="B49" s="2">
        <v>10</v>
      </c>
      <c r="C49" s="2"/>
      <c r="D49" s="2"/>
      <c r="E49" s="2"/>
      <c r="F49" s="2" t="s">
        <v>181</v>
      </c>
      <c r="G49" s="2" t="s">
        <v>396</v>
      </c>
      <c r="H49" s="2" t="s">
        <v>397</v>
      </c>
      <c r="I49" s="2" t="s">
        <v>309</v>
      </c>
      <c r="J49" s="2" t="s">
        <v>199</v>
      </c>
      <c r="K49" s="2" t="s">
        <v>30</v>
      </c>
      <c r="L49" s="2">
        <v>49992</v>
      </c>
      <c r="M49" s="2" t="s">
        <v>101</v>
      </c>
      <c r="N49" s="2" t="s">
        <v>31</v>
      </c>
      <c r="O49" s="2" t="s">
        <v>376</v>
      </c>
      <c r="P49" s="2" t="s">
        <v>377</v>
      </c>
      <c r="Q49" s="2" t="s">
        <v>229</v>
      </c>
      <c r="R49" s="2" t="s">
        <v>33</v>
      </c>
      <c r="S49" s="2" t="s">
        <v>378</v>
      </c>
      <c r="T49" s="2" t="s">
        <v>113</v>
      </c>
      <c r="U49" s="2">
        <v>10.5</v>
      </c>
      <c r="V49" s="2" t="s">
        <v>231</v>
      </c>
      <c r="W49" s="2" t="s">
        <v>379</v>
      </c>
      <c r="X49" s="2" t="s">
        <v>292</v>
      </c>
      <c r="Y49" s="2" t="s">
        <v>38</v>
      </c>
      <c r="Z49" s="2">
        <v>1.05</v>
      </c>
      <c r="AA49" s="2">
        <v>0.74</v>
      </c>
      <c r="AB49" s="2">
        <v>1.49</v>
      </c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</row>
    <row r="50" spans="1:57">
      <c r="A50" s="2">
        <v>1144</v>
      </c>
      <c r="B50" s="2">
        <v>11</v>
      </c>
      <c r="C50" s="2"/>
      <c r="D50" s="2"/>
      <c r="E50" s="2"/>
      <c r="F50" s="2" t="s">
        <v>181</v>
      </c>
      <c r="G50" s="2" t="s">
        <v>398</v>
      </c>
      <c r="H50" s="2" t="s">
        <v>399</v>
      </c>
      <c r="I50" s="2" t="s">
        <v>309</v>
      </c>
      <c r="J50" s="2" t="s">
        <v>199</v>
      </c>
      <c r="K50" s="2" t="s">
        <v>30</v>
      </c>
      <c r="L50" s="2">
        <v>56514</v>
      </c>
      <c r="M50" s="2" t="s">
        <v>101</v>
      </c>
      <c r="N50" s="2" t="s">
        <v>31</v>
      </c>
      <c r="O50" s="2" t="s">
        <v>376</v>
      </c>
      <c r="P50" s="2" t="s">
        <v>377</v>
      </c>
      <c r="Q50" s="2" t="s">
        <v>229</v>
      </c>
      <c r="R50" s="2" t="s">
        <v>33</v>
      </c>
      <c r="S50" s="2" t="s">
        <v>378</v>
      </c>
      <c r="T50" s="2" t="s">
        <v>113</v>
      </c>
      <c r="U50" s="2">
        <v>10.5</v>
      </c>
      <c r="V50" s="2" t="s">
        <v>231</v>
      </c>
      <c r="W50" s="2" t="s">
        <v>379</v>
      </c>
      <c r="X50" s="2" t="s">
        <v>292</v>
      </c>
      <c r="Y50" s="2" t="s">
        <v>38</v>
      </c>
      <c r="Z50" s="2">
        <v>1.12</v>
      </c>
      <c r="AA50" s="2">
        <v>0.97</v>
      </c>
      <c r="AB50" s="2">
        <v>1.3</v>
      </c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</row>
    <row r="51" spans="1:57">
      <c r="A51" s="2">
        <v>1144</v>
      </c>
      <c r="B51" s="2">
        <v>12</v>
      </c>
      <c r="C51" s="2"/>
      <c r="D51" s="2"/>
      <c r="E51" s="2"/>
      <c r="F51" s="2" t="s">
        <v>181</v>
      </c>
      <c r="G51" s="2" t="s">
        <v>400</v>
      </c>
      <c r="H51" s="2" t="s">
        <v>401</v>
      </c>
      <c r="I51" s="2" t="s">
        <v>309</v>
      </c>
      <c r="J51" s="2" t="s">
        <v>199</v>
      </c>
      <c r="K51" s="2" t="s">
        <v>30</v>
      </c>
      <c r="L51" s="2">
        <v>6644</v>
      </c>
      <c r="M51" s="2" t="s">
        <v>101</v>
      </c>
      <c r="N51" s="2" t="s">
        <v>31</v>
      </c>
      <c r="O51" s="2" t="s">
        <v>376</v>
      </c>
      <c r="P51" s="2" t="s">
        <v>377</v>
      </c>
      <c r="Q51" s="2" t="s">
        <v>229</v>
      </c>
      <c r="R51" s="2" t="s">
        <v>33</v>
      </c>
      <c r="S51" s="2" t="s">
        <v>378</v>
      </c>
      <c r="T51" s="2" t="s">
        <v>113</v>
      </c>
      <c r="U51" s="2">
        <v>10.5</v>
      </c>
      <c r="V51" s="2" t="s">
        <v>231</v>
      </c>
      <c r="W51" s="2" t="s">
        <v>379</v>
      </c>
      <c r="X51" s="2" t="s">
        <v>292</v>
      </c>
      <c r="Y51" s="2" t="s">
        <v>38</v>
      </c>
      <c r="Z51" s="2">
        <v>1.2</v>
      </c>
      <c r="AA51" s="2">
        <v>0.76</v>
      </c>
      <c r="AB51" s="2">
        <v>1.9</v>
      </c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</row>
    <row r="52" spans="1:57">
      <c r="A52" s="2">
        <v>1144</v>
      </c>
      <c r="B52" s="2">
        <v>13</v>
      </c>
      <c r="C52" s="2"/>
      <c r="D52" s="2"/>
      <c r="E52" s="2"/>
      <c r="F52" s="2" t="s">
        <v>181</v>
      </c>
      <c r="G52" s="2" t="s">
        <v>402</v>
      </c>
      <c r="H52" s="2" t="s">
        <v>403</v>
      </c>
      <c r="I52" s="2" t="s">
        <v>309</v>
      </c>
      <c r="J52" s="2" t="s">
        <v>199</v>
      </c>
      <c r="K52" s="2" t="s">
        <v>30</v>
      </c>
      <c r="L52" s="2">
        <v>11159</v>
      </c>
      <c r="M52" s="2" t="s">
        <v>101</v>
      </c>
      <c r="N52" s="2" t="s">
        <v>31</v>
      </c>
      <c r="O52" s="2" t="s">
        <v>376</v>
      </c>
      <c r="P52" s="2" t="s">
        <v>377</v>
      </c>
      <c r="Q52" s="2" t="s">
        <v>229</v>
      </c>
      <c r="R52" s="2" t="s">
        <v>33</v>
      </c>
      <c r="S52" s="2" t="s">
        <v>378</v>
      </c>
      <c r="T52" s="2" t="s">
        <v>113</v>
      </c>
      <c r="U52" s="2">
        <v>10.5</v>
      </c>
      <c r="V52" s="2" t="s">
        <v>231</v>
      </c>
      <c r="W52" s="2" t="s">
        <v>379</v>
      </c>
      <c r="X52" s="2" t="s">
        <v>292</v>
      </c>
      <c r="Y52" s="2" t="s">
        <v>38</v>
      </c>
      <c r="Z52" s="2">
        <v>1.28</v>
      </c>
      <c r="AA52" s="2">
        <v>0.89</v>
      </c>
      <c r="AB52" s="2">
        <v>1.84</v>
      </c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</row>
    <row r="53" spans="1:57">
      <c r="A53" s="2">
        <v>1144</v>
      </c>
      <c r="B53" s="2">
        <v>14</v>
      </c>
      <c r="C53" s="2"/>
      <c r="D53" s="2"/>
      <c r="E53" s="2"/>
      <c r="F53" s="2" t="s">
        <v>181</v>
      </c>
      <c r="G53" s="2" t="s">
        <v>404</v>
      </c>
      <c r="H53" s="2" t="s">
        <v>405</v>
      </c>
      <c r="I53" s="2" t="s">
        <v>309</v>
      </c>
      <c r="J53" s="2" t="s">
        <v>199</v>
      </c>
      <c r="K53" s="2" t="s">
        <v>30</v>
      </c>
      <c r="L53" s="2">
        <v>193198</v>
      </c>
      <c r="M53" s="2" t="s">
        <v>101</v>
      </c>
      <c r="N53" s="2" t="s">
        <v>31</v>
      </c>
      <c r="O53" s="2" t="s">
        <v>376</v>
      </c>
      <c r="P53" s="2" t="s">
        <v>377</v>
      </c>
      <c r="Q53" s="2" t="s">
        <v>229</v>
      </c>
      <c r="R53" s="2" t="s">
        <v>33</v>
      </c>
      <c r="S53" s="2" t="s">
        <v>378</v>
      </c>
      <c r="T53" s="2" t="s">
        <v>113</v>
      </c>
      <c r="U53" s="2">
        <v>10.5</v>
      </c>
      <c r="V53" s="2" t="s">
        <v>231</v>
      </c>
      <c r="W53" s="2" t="s">
        <v>379</v>
      </c>
      <c r="X53" s="2" t="s">
        <v>292</v>
      </c>
      <c r="Y53" s="2" t="s">
        <v>38</v>
      </c>
      <c r="Z53" s="2">
        <v>1.04</v>
      </c>
      <c r="AA53" s="2">
        <v>0.96</v>
      </c>
      <c r="AB53" s="2">
        <v>1.13</v>
      </c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</row>
    <row r="54" spans="1:57">
      <c r="A54" s="2">
        <v>1144</v>
      </c>
      <c r="B54" s="2">
        <v>15</v>
      </c>
      <c r="C54" s="2"/>
      <c r="D54" s="2"/>
      <c r="E54" s="2"/>
      <c r="F54" s="2" t="s">
        <v>181</v>
      </c>
      <c r="G54" s="2" t="s">
        <v>406</v>
      </c>
      <c r="H54" s="2" t="s">
        <v>407</v>
      </c>
      <c r="I54" s="2" t="s">
        <v>309</v>
      </c>
      <c r="J54" s="2" t="s">
        <v>199</v>
      </c>
      <c r="K54" s="2" t="s">
        <v>30</v>
      </c>
      <c r="L54" s="2">
        <v>134597</v>
      </c>
      <c r="M54" s="2" t="s">
        <v>101</v>
      </c>
      <c r="N54" s="2" t="s">
        <v>31</v>
      </c>
      <c r="O54" s="2" t="s">
        <v>376</v>
      </c>
      <c r="P54" s="2" t="s">
        <v>377</v>
      </c>
      <c r="Q54" s="2" t="s">
        <v>229</v>
      </c>
      <c r="R54" s="2" t="s">
        <v>33</v>
      </c>
      <c r="S54" s="2" t="s">
        <v>378</v>
      </c>
      <c r="T54" s="2" t="s">
        <v>113</v>
      </c>
      <c r="U54" s="2">
        <v>10.5</v>
      </c>
      <c r="V54" s="2" t="s">
        <v>231</v>
      </c>
      <c r="W54" s="2" t="s">
        <v>379</v>
      </c>
      <c r="X54" s="2" t="s">
        <v>292</v>
      </c>
      <c r="Y54" s="2" t="s">
        <v>38</v>
      </c>
      <c r="Z54" s="2">
        <v>1.07</v>
      </c>
      <c r="AA54" s="2">
        <v>0.97</v>
      </c>
      <c r="AB54" s="2">
        <v>1.19</v>
      </c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</row>
    <row r="55" spans="1:57">
      <c r="A55" s="2">
        <v>1144</v>
      </c>
      <c r="B55" s="2">
        <v>16</v>
      </c>
      <c r="C55" s="2"/>
      <c r="D55" s="2"/>
      <c r="E55" s="2"/>
      <c r="F55" s="2" t="s">
        <v>181</v>
      </c>
      <c r="G55" s="2" t="s">
        <v>408</v>
      </c>
      <c r="H55" s="2" t="s">
        <v>409</v>
      </c>
      <c r="I55" s="2" t="s">
        <v>309</v>
      </c>
      <c r="J55" s="2" t="s">
        <v>199</v>
      </c>
      <c r="K55" s="2" t="s">
        <v>30</v>
      </c>
      <c r="L55" s="2">
        <v>12141</v>
      </c>
      <c r="M55" s="2" t="s">
        <v>101</v>
      </c>
      <c r="N55" s="2" t="s">
        <v>31</v>
      </c>
      <c r="O55" s="2" t="s">
        <v>376</v>
      </c>
      <c r="P55" s="2" t="s">
        <v>377</v>
      </c>
      <c r="Q55" s="2" t="s">
        <v>229</v>
      </c>
      <c r="R55" s="2" t="s">
        <v>33</v>
      </c>
      <c r="S55" s="2" t="s">
        <v>378</v>
      </c>
      <c r="T55" s="2" t="s">
        <v>113</v>
      </c>
      <c r="U55" s="2">
        <v>10.5</v>
      </c>
      <c r="V55" s="2" t="s">
        <v>231</v>
      </c>
      <c r="W55" s="2" t="s">
        <v>379</v>
      </c>
      <c r="X55" s="2" t="s">
        <v>292</v>
      </c>
      <c r="Y55" s="2" t="s">
        <v>38</v>
      </c>
      <c r="Z55" s="2">
        <v>1.18</v>
      </c>
      <c r="AA55" s="2">
        <v>0.85</v>
      </c>
      <c r="AB55" s="2">
        <v>1.64</v>
      </c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</row>
    <row r="56" spans="1:57">
      <c r="A56" s="2">
        <v>1144</v>
      </c>
      <c r="B56" s="2">
        <v>17</v>
      </c>
      <c r="C56" s="2"/>
      <c r="D56" s="2"/>
      <c r="E56" s="2"/>
      <c r="F56" s="2" t="s">
        <v>181</v>
      </c>
      <c r="G56" s="2" t="s">
        <v>410</v>
      </c>
      <c r="H56" s="2" t="s">
        <v>411</v>
      </c>
      <c r="I56" s="2" t="s">
        <v>309</v>
      </c>
      <c r="J56" s="2" t="s">
        <v>199</v>
      </c>
      <c r="K56" s="2" t="s">
        <v>30</v>
      </c>
      <c r="L56" s="2">
        <v>85631</v>
      </c>
      <c r="M56" s="2" t="s">
        <v>101</v>
      </c>
      <c r="N56" s="2" t="s">
        <v>31</v>
      </c>
      <c r="O56" s="2" t="s">
        <v>376</v>
      </c>
      <c r="P56" s="2" t="s">
        <v>377</v>
      </c>
      <c r="Q56" s="2" t="s">
        <v>229</v>
      </c>
      <c r="R56" s="2" t="s">
        <v>33</v>
      </c>
      <c r="S56" s="2" t="s">
        <v>378</v>
      </c>
      <c r="T56" s="2" t="s">
        <v>113</v>
      </c>
      <c r="U56" s="2">
        <v>10.5</v>
      </c>
      <c r="V56" s="2" t="s">
        <v>231</v>
      </c>
      <c r="W56" s="2" t="s">
        <v>379</v>
      </c>
      <c r="X56" s="2" t="s">
        <v>292</v>
      </c>
      <c r="Y56" s="2" t="s">
        <v>38</v>
      </c>
      <c r="Z56" s="2">
        <v>1.01</v>
      </c>
      <c r="AA56" s="2">
        <v>0.91</v>
      </c>
      <c r="AB56" s="2">
        <v>1.11</v>
      </c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</row>
    <row r="57" spans="1:57">
      <c r="A57" s="2">
        <v>1144</v>
      </c>
      <c r="B57" s="2">
        <v>18</v>
      </c>
      <c r="C57" s="2"/>
      <c r="D57" s="2"/>
      <c r="E57" s="2"/>
      <c r="F57" s="2" t="s">
        <v>181</v>
      </c>
      <c r="G57" s="2" t="s">
        <v>412</v>
      </c>
      <c r="H57" s="2" t="s">
        <v>413</v>
      </c>
      <c r="I57" s="2" t="s">
        <v>309</v>
      </c>
      <c r="J57" s="2" t="s">
        <v>199</v>
      </c>
      <c r="K57" s="2" t="s">
        <v>30</v>
      </c>
      <c r="L57" s="2">
        <v>6764</v>
      </c>
      <c r="M57" s="2" t="s">
        <v>101</v>
      </c>
      <c r="N57" s="2" t="s">
        <v>31</v>
      </c>
      <c r="O57" s="2" t="s">
        <v>376</v>
      </c>
      <c r="P57" s="2" t="s">
        <v>377</v>
      </c>
      <c r="Q57" s="2" t="s">
        <v>229</v>
      </c>
      <c r="R57" s="2" t="s">
        <v>33</v>
      </c>
      <c r="S57" s="2" t="s">
        <v>378</v>
      </c>
      <c r="T57" s="2" t="s">
        <v>113</v>
      </c>
      <c r="U57" s="2">
        <v>10.5</v>
      </c>
      <c r="V57" s="2" t="s">
        <v>231</v>
      </c>
      <c r="W57" s="2" t="s">
        <v>379</v>
      </c>
      <c r="X57" s="2" t="s">
        <v>292</v>
      </c>
      <c r="Y57" s="2" t="s">
        <v>38</v>
      </c>
      <c r="Z57" s="2">
        <v>7.21</v>
      </c>
      <c r="AA57" s="2">
        <v>1.26</v>
      </c>
      <c r="AB57" s="2">
        <v>41.16</v>
      </c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</row>
    <row r="58" spans="1:57">
      <c r="A58" s="2">
        <v>1144</v>
      </c>
      <c r="B58" s="2">
        <v>19</v>
      </c>
      <c r="C58" s="2"/>
      <c r="D58" s="2"/>
      <c r="E58" s="2"/>
      <c r="F58" s="2" t="s">
        <v>181</v>
      </c>
      <c r="G58" s="2" t="s">
        <v>414</v>
      </c>
      <c r="H58" s="2" t="s">
        <v>415</v>
      </c>
      <c r="I58" s="2" t="s">
        <v>309</v>
      </c>
      <c r="J58" s="2" t="s">
        <v>199</v>
      </c>
      <c r="K58" s="2" t="s">
        <v>30</v>
      </c>
      <c r="L58" s="2">
        <v>5511</v>
      </c>
      <c r="M58" s="2" t="s">
        <v>101</v>
      </c>
      <c r="N58" s="2" t="s">
        <v>31</v>
      </c>
      <c r="O58" s="2" t="s">
        <v>376</v>
      </c>
      <c r="P58" s="2" t="s">
        <v>377</v>
      </c>
      <c r="Q58" s="2" t="s">
        <v>229</v>
      </c>
      <c r="R58" s="2" t="s">
        <v>33</v>
      </c>
      <c r="S58" s="2" t="s">
        <v>378</v>
      </c>
      <c r="T58" s="2" t="s">
        <v>113</v>
      </c>
      <c r="U58" s="2">
        <v>10.5</v>
      </c>
      <c r="V58" s="2" t="s">
        <v>231</v>
      </c>
      <c r="W58" s="2" t="s">
        <v>379</v>
      </c>
      <c r="X58" s="2" t="s">
        <v>292</v>
      </c>
      <c r="Y58" s="2" t="s">
        <v>38</v>
      </c>
      <c r="Z58" s="2">
        <v>1.16</v>
      </c>
      <c r="AA58" s="2">
        <v>0.77</v>
      </c>
      <c r="AB58" s="2">
        <v>1.76</v>
      </c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</row>
    <row r="59" spans="1:57">
      <c r="A59" s="2">
        <v>1144</v>
      </c>
      <c r="B59" s="2">
        <v>20</v>
      </c>
      <c r="C59" s="2"/>
      <c r="D59" s="2"/>
      <c r="E59" s="2"/>
      <c r="F59" s="2" t="s">
        <v>181</v>
      </c>
      <c r="G59" s="2" t="s">
        <v>416</v>
      </c>
      <c r="H59" s="2" t="s">
        <v>417</v>
      </c>
      <c r="I59" s="2" t="s">
        <v>309</v>
      </c>
      <c r="J59" s="2" t="s">
        <v>199</v>
      </c>
      <c r="K59" s="2" t="s">
        <v>30</v>
      </c>
      <c r="L59" s="2">
        <v>10392</v>
      </c>
      <c r="M59" s="2" t="s">
        <v>101</v>
      </c>
      <c r="N59" s="2" t="s">
        <v>31</v>
      </c>
      <c r="O59" s="2" t="s">
        <v>376</v>
      </c>
      <c r="P59" s="2" t="s">
        <v>377</v>
      </c>
      <c r="Q59" s="2" t="s">
        <v>229</v>
      </c>
      <c r="R59" s="2" t="s">
        <v>33</v>
      </c>
      <c r="S59" s="2" t="s">
        <v>378</v>
      </c>
      <c r="T59" s="2" t="s">
        <v>113</v>
      </c>
      <c r="U59" s="2">
        <v>10.5</v>
      </c>
      <c r="V59" s="2" t="s">
        <v>231</v>
      </c>
      <c r="W59" s="2" t="s">
        <v>379</v>
      </c>
      <c r="X59" s="2" t="s">
        <v>292</v>
      </c>
      <c r="Y59" s="2" t="s">
        <v>38</v>
      </c>
      <c r="Z59" s="2">
        <v>1.17</v>
      </c>
      <c r="AA59" s="2">
        <v>0.88</v>
      </c>
      <c r="AB59" s="2">
        <v>1.57</v>
      </c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</row>
    <row r="60" spans="1:57">
      <c r="A60" s="2">
        <v>1144</v>
      </c>
      <c r="B60" s="2">
        <v>21</v>
      </c>
      <c r="C60" s="2"/>
      <c r="D60" s="2"/>
      <c r="E60" s="2"/>
      <c r="F60" s="2" t="s">
        <v>181</v>
      </c>
      <c r="G60" s="2" t="s">
        <v>418</v>
      </c>
      <c r="H60" s="2" t="s">
        <v>419</v>
      </c>
      <c r="I60" s="2" t="s">
        <v>309</v>
      </c>
      <c r="J60" s="2" t="s">
        <v>199</v>
      </c>
      <c r="K60" s="2" t="s">
        <v>30</v>
      </c>
      <c r="L60" s="2">
        <v>62332</v>
      </c>
      <c r="M60" s="2" t="s">
        <v>101</v>
      </c>
      <c r="N60" s="2" t="s">
        <v>31</v>
      </c>
      <c r="O60" s="2" t="s">
        <v>376</v>
      </c>
      <c r="P60" s="2" t="s">
        <v>377</v>
      </c>
      <c r="Q60" s="2" t="s">
        <v>229</v>
      </c>
      <c r="R60" s="2" t="s">
        <v>33</v>
      </c>
      <c r="S60" s="2" t="s">
        <v>378</v>
      </c>
      <c r="T60" s="2" t="s">
        <v>113</v>
      </c>
      <c r="U60" s="2">
        <v>10.5</v>
      </c>
      <c r="V60" s="2" t="s">
        <v>231</v>
      </c>
      <c r="W60" s="2" t="s">
        <v>379</v>
      </c>
      <c r="X60" s="2" t="s">
        <v>292</v>
      </c>
      <c r="Y60" s="2" t="s">
        <v>38</v>
      </c>
      <c r="Z60" s="2">
        <v>1.05</v>
      </c>
      <c r="AA60" s="2">
        <v>0.92</v>
      </c>
      <c r="AB60" s="2">
        <v>1.2</v>
      </c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</row>
    <row r="61" spans="1:57">
      <c r="A61" s="2">
        <v>1144</v>
      </c>
      <c r="B61" s="2">
        <v>22</v>
      </c>
      <c r="C61" s="2"/>
      <c r="D61" s="2"/>
      <c r="E61" s="2"/>
      <c r="F61" s="2" t="s">
        <v>181</v>
      </c>
      <c r="G61" s="2" t="s">
        <v>420</v>
      </c>
      <c r="H61" s="2" t="s">
        <v>421</v>
      </c>
      <c r="I61" s="2" t="s">
        <v>309</v>
      </c>
      <c r="J61" s="2" t="s">
        <v>199</v>
      </c>
      <c r="K61" s="2" t="s">
        <v>30</v>
      </c>
      <c r="L61" s="2">
        <v>9557</v>
      </c>
      <c r="M61" s="2" t="s">
        <v>101</v>
      </c>
      <c r="N61" s="2" t="s">
        <v>31</v>
      </c>
      <c r="O61" s="2" t="s">
        <v>376</v>
      </c>
      <c r="P61" s="2" t="s">
        <v>377</v>
      </c>
      <c r="Q61" s="2" t="s">
        <v>229</v>
      </c>
      <c r="R61" s="2" t="s">
        <v>33</v>
      </c>
      <c r="S61" s="2" t="s">
        <v>378</v>
      </c>
      <c r="T61" s="2" t="s">
        <v>113</v>
      </c>
      <c r="U61" s="2">
        <v>10.5</v>
      </c>
      <c r="V61" s="2" t="s">
        <v>231</v>
      </c>
      <c r="W61" s="2" t="s">
        <v>379</v>
      </c>
      <c r="X61" s="2" t="s">
        <v>292</v>
      </c>
      <c r="Y61" s="2" t="s">
        <v>38</v>
      </c>
      <c r="Z61" s="2">
        <v>1.79</v>
      </c>
      <c r="AA61" s="2">
        <v>0.41</v>
      </c>
      <c r="AB61" s="2">
        <v>7.85</v>
      </c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</row>
    <row r="62" spans="1:57">
      <c r="A62" s="2">
        <v>1144</v>
      </c>
      <c r="B62" s="2">
        <v>23</v>
      </c>
      <c r="C62" s="2"/>
      <c r="D62" s="2"/>
      <c r="E62" s="2"/>
      <c r="F62" s="2" t="s">
        <v>181</v>
      </c>
      <c r="G62" s="2" t="s">
        <v>422</v>
      </c>
      <c r="H62" s="2" t="s">
        <v>423</v>
      </c>
      <c r="I62" s="2" t="s">
        <v>309</v>
      </c>
      <c r="J62" s="2" t="s">
        <v>199</v>
      </c>
      <c r="K62" s="2" t="s">
        <v>30</v>
      </c>
      <c r="L62" s="2">
        <v>236525</v>
      </c>
      <c r="M62" s="2" t="s">
        <v>101</v>
      </c>
      <c r="N62" s="2" t="s">
        <v>31</v>
      </c>
      <c r="O62" s="2" t="s">
        <v>376</v>
      </c>
      <c r="P62" s="2" t="s">
        <v>377</v>
      </c>
      <c r="Q62" s="2" t="s">
        <v>229</v>
      </c>
      <c r="R62" s="2" t="s">
        <v>33</v>
      </c>
      <c r="S62" s="2" t="s">
        <v>378</v>
      </c>
      <c r="T62" s="2" t="s">
        <v>113</v>
      </c>
      <c r="U62" s="2">
        <v>10.5</v>
      </c>
      <c r="V62" s="2" t="s">
        <v>231</v>
      </c>
      <c r="W62" s="2" t="s">
        <v>379</v>
      </c>
      <c r="X62" s="2" t="s">
        <v>292</v>
      </c>
      <c r="Y62" s="2" t="s">
        <v>38</v>
      </c>
      <c r="Z62" s="2">
        <v>1.18</v>
      </c>
      <c r="AA62" s="2">
        <v>1.11</v>
      </c>
      <c r="AB62" s="2">
        <v>1.25</v>
      </c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</row>
    <row r="63" spans="1:57">
      <c r="A63" s="2">
        <v>1144</v>
      </c>
      <c r="B63" s="2">
        <v>24</v>
      </c>
      <c r="C63" s="2"/>
      <c r="D63" s="2"/>
      <c r="E63" s="2"/>
      <c r="F63" s="2" t="s">
        <v>181</v>
      </c>
      <c r="G63" s="2" t="s">
        <v>424</v>
      </c>
      <c r="H63" s="2" t="s">
        <v>425</v>
      </c>
      <c r="I63" s="2" t="s">
        <v>309</v>
      </c>
      <c r="J63" s="2" t="s">
        <v>199</v>
      </c>
      <c r="K63" s="2" t="s">
        <v>30</v>
      </c>
      <c r="L63" s="2">
        <v>68127</v>
      </c>
      <c r="M63" s="2" t="s">
        <v>101</v>
      </c>
      <c r="N63" s="2" t="s">
        <v>31</v>
      </c>
      <c r="O63" s="2" t="s">
        <v>376</v>
      </c>
      <c r="P63" s="2" t="s">
        <v>377</v>
      </c>
      <c r="Q63" s="2" t="s">
        <v>229</v>
      </c>
      <c r="R63" s="2" t="s">
        <v>33</v>
      </c>
      <c r="S63" s="2" t="s">
        <v>378</v>
      </c>
      <c r="T63" s="2" t="s">
        <v>113</v>
      </c>
      <c r="U63" s="2">
        <v>10.5</v>
      </c>
      <c r="V63" s="2" t="s">
        <v>231</v>
      </c>
      <c r="W63" s="2" t="s">
        <v>379</v>
      </c>
      <c r="X63" s="2" t="s">
        <v>292</v>
      </c>
      <c r="Y63" s="2" t="s">
        <v>38</v>
      </c>
      <c r="Z63" s="2">
        <v>1.01</v>
      </c>
      <c r="AA63" s="2">
        <v>0.86</v>
      </c>
      <c r="AB63" s="2">
        <v>1.2</v>
      </c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</row>
    <row r="64" spans="1:57">
      <c r="A64" s="2">
        <v>1144</v>
      </c>
      <c r="B64" s="2">
        <v>25</v>
      </c>
      <c r="C64" s="2"/>
      <c r="D64" s="2"/>
      <c r="E64" s="2"/>
      <c r="F64" s="2" t="s">
        <v>181</v>
      </c>
      <c r="G64" s="2" t="s">
        <v>426</v>
      </c>
      <c r="H64" s="2" t="s">
        <v>427</v>
      </c>
      <c r="I64" s="2" t="s">
        <v>309</v>
      </c>
      <c r="J64" s="2" t="s">
        <v>29</v>
      </c>
      <c r="K64" s="2" t="s">
        <v>30</v>
      </c>
      <c r="L64" s="2">
        <v>84466</v>
      </c>
      <c r="M64" s="2" t="s">
        <v>101</v>
      </c>
      <c r="N64" s="2" t="s">
        <v>31</v>
      </c>
      <c r="O64" s="2" t="s">
        <v>376</v>
      </c>
      <c r="P64" s="2" t="s">
        <v>377</v>
      </c>
      <c r="Q64" s="2" t="s">
        <v>229</v>
      </c>
      <c r="R64" s="2" t="s">
        <v>33</v>
      </c>
      <c r="S64" s="2" t="s">
        <v>378</v>
      </c>
      <c r="T64" s="2" t="s">
        <v>113</v>
      </c>
      <c r="U64" s="2">
        <v>10.5</v>
      </c>
      <c r="V64" s="2" t="s">
        <v>231</v>
      </c>
      <c r="W64" s="2" t="s">
        <v>379</v>
      </c>
      <c r="X64" s="2" t="s">
        <v>292</v>
      </c>
      <c r="Y64" s="2" t="s">
        <v>38</v>
      </c>
      <c r="Z64" s="2">
        <v>1.41</v>
      </c>
      <c r="AA64" s="2">
        <v>1.26</v>
      </c>
      <c r="AB64" s="2">
        <v>1.56</v>
      </c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</row>
    <row r="65" spans="1:57">
      <c r="A65" s="2">
        <v>1144</v>
      </c>
      <c r="B65" s="2">
        <v>26</v>
      </c>
      <c r="C65" s="2"/>
      <c r="D65" s="2"/>
      <c r="E65" s="2"/>
      <c r="F65" s="2" t="s">
        <v>181</v>
      </c>
      <c r="G65" s="2" t="s">
        <v>428</v>
      </c>
      <c r="H65" s="2" t="s">
        <v>428</v>
      </c>
      <c r="I65" s="2" t="s">
        <v>309</v>
      </c>
      <c r="J65" s="2" t="s">
        <v>199</v>
      </c>
      <c r="K65" s="2" t="s">
        <v>30</v>
      </c>
      <c r="L65" s="2">
        <v>832277</v>
      </c>
      <c r="M65" s="2" t="s">
        <v>101</v>
      </c>
      <c r="N65" s="2" t="s">
        <v>31</v>
      </c>
      <c r="O65" s="2" t="s">
        <v>376</v>
      </c>
      <c r="P65" s="2" t="s">
        <v>377</v>
      </c>
      <c r="Q65" s="2" t="s">
        <v>229</v>
      </c>
      <c r="R65" s="2" t="s">
        <v>33</v>
      </c>
      <c r="S65" s="2" t="s">
        <v>378</v>
      </c>
      <c r="T65" s="2" t="s">
        <v>113</v>
      </c>
      <c r="U65" s="2">
        <v>10.5</v>
      </c>
      <c r="V65" s="2" t="s">
        <v>231</v>
      </c>
      <c r="W65" s="2" t="s">
        <v>379</v>
      </c>
      <c r="X65" s="2" t="s">
        <v>292</v>
      </c>
      <c r="Y65" s="2" t="s">
        <v>38</v>
      </c>
      <c r="Z65" s="2">
        <v>1.45</v>
      </c>
      <c r="AA65" s="2">
        <v>1.38</v>
      </c>
      <c r="AB65" s="2">
        <v>1.51</v>
      </c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</row>
    <row r="66" spans="1:57">
      <c r="A66" s="2">
        <v>1144</v>
      </c>
      <c r="B66" s="2">
        <v>27</v>
      </c>
      <c r="C66" s="2"/>
      <c r="D66" s="2"/>
      <c r="E66" s="2"/>
      <c r="F66" s="2" t="s">
        <v>181</v>
      </c>
      <c r="G66" s="2" t="s">
        <v>314</v>
      </c>
      <c r="H66" s="2" t="s">
        <v>315</v>
      </c>
      <c r="I66" s="2" t="s">
        <v>309</v>
      </c>
      <c r="J66" s="2" t="s">
        <v>29</v>
      </c>
      <c r="K66" s="2" t="s">
        <v>30</v>
      </c>
      <c r="L66" s="2">
        <v>983815</v>
      </c>
      <c r="M66" s="2" t="s">
        <v>101</v>
      </c>
      <c r="N66" s="2" t="s">
        <v>31</v>
      </c>
      <c r="O66" s="2" t="s">
        <v>376</v>
      </c>
      <c r="P66" s="2" t="s">
        <v>377</v>
      </c>
      <c r="Q66" s="2" t="s">
        <v>229</v>
      </c>
      <c r="R66" s="2" t="s">
        <v>33</v>
      </c>
      <c r="S66" s="2" t="s">
        <v>378</v>
      </c>
      <c r="T66" s="2" t="s">
        <v>113</v>
      </c>
      <c r="U66" s="2">
        <v>10.5</v>
      </c>
      <c r="V66" s="2" t="s">
        <v>231</v>
      </c>
      <c r="W66" s="2" t="s">
        <v>379</v>
      </c>
      <c r="X66" s="2" t="s">
        <v>292</v>
      </c>
      <c r="Y66" s="2" t="s">
        <v>38</v>
      </c>
      <c r="Z66" s="2">
        <v>1.26</v>
      </c>
      <c r="AA66" s="2">
        <v>1.21</v>
      </c>
      <c r="AB66" s="2">
        <v>1.31</v>
      </c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</row>
    <row r="67" spans="1:57">
      <c r="A67" s="2">
        <v>1144</v>
      </c>
      <c r="B67" s="2">
        <v>28</v>
      </c>
      <c r="C67" s="2"/>
      <c r="D67" s="2"/>
      <c r="E67" s="2"/>
      <c r="F67" s="2" t="s">
        <v>181</v>
      </c>
      <c r="G67" s="2" t="s">
        <v>429</v>
      </c>
      <c r="H67" s="2" t="s">
        <v>427</v>
      </c>
      <c r="I67" s="2" t="s">
        <v>309</v>
      </c>
      <c r="J67" s="2" t="s">
        <v>29</v>
      </c>
      <c r="K67" s="2" t="s">
        <v>30</v>
      </c>
      <c r="L67" s="2">
        <v>100193</v>
      </c>
      <c r="M67" s="2" t="s">
        <v>101</v>
      </c>
      <c r="N67" s="2" t="s">
        <v>31</v>
      </c>
      <c r="O67" s="2" t="s">
        <v>376</v>
      </c>
      <c r="P67" s="2" t="s">
        <v>377</v>
      </c>
      <c r="Q67" s="2" t="s">
        <v>229</v>
      </c>
      <c r="R67" s="2" t="s">
        <v>33</v>
      </c>
      <c r="S67" s="2" t="s">
        <v>378</v>
      </c>
      <c r="T67" s="2" t="s">
        <v>113</v>
      </c>
      <c r="U67" s="2">
        <v>10.5</v>
      </c>
      <c r="V67" s="2" t="s">
        <v>231</v>
      </c>
      <c r="W67" s="2" t="s">
        <v>379</v>
      </c>
      <c r="X67" s="2" t="s">
        <v>292</v>
      </c>
      <c r="Y67" s="2" t="s">
        <v>38</v>
      </c>
      <c r="Z67" s="2">
        <v>1.39</v>
      </c>
      <c r="AA67" s="2">
        <v>1.25</v>
      </c>
      <c r="AB67" s="2">
        <v>1.55</v>
      </c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</row>
    <row r="68" spans="1:57">
      <c r="A68" s="2">
        <v>1144</v>
      </c>
      <c r="B68" s="2">
        <v>29</v>
      </c>
      <c r="C68" s="2"/>
      <c r="D68" s="2"/>
      <c r="E68" s="2"/>
      <c r="F68" s="2" t="s">
        <v>181</v>
      </c>
      <c r="G68" s="2" t="s">
        <v>430</v>
      </c>
      <c r="H68" s="2" t="s">
        <v>431</v>
      </c>
      <c r="I68" s="2" t="s">
        <v>309</v>
      </c>
      <c r="J68" s="2" t="s">
        <v>199</v>
      </c>
      <c r="K68" s="2" t="s">
        <v>30</v>
      </c>
      <c r="L68" s="2">
        <v>31130</v>
      </c>
      <c r="M68" s="2" t="s">
        <v>101</v>
      </c>
      <c r="N68" s="2" t="s">
        <v>31</v>
      </c>
      <c r="O68" s="2" t="s">
        <v>376</v>
      </c>
      <c r="P68" s="2" t="s">
        <v>377</v>
      </c>
      <c r="Q68" s="2" t="s">
        <v>229</v>
      </c>
      <c r="R68" s="2" t="s">
        <v>33</v>
      </c>
      <c r="S68" s="2" t="s">
        <v>378</v>
      </c>
      <c r="T68" s="2" t="s">
        <v>113</v>
      </c>
      <c r="U68" s="2">
        <v>10.5</v>
      </c>
      <c r="V68" s="2" t="s">
        <v>231</v>
      </c>
      <c r="W68" s="2" t="s">
        <v>379</v>
      </c>
      <c r="X68" s="2" t="s">
        <v>292</v>
      </c>
      <c r="Y68" s="2" t="s">
        <v>38</v>
      </c>
      <c r="Z68" s="2">
        <v>1.11</v>
      </c>
      <c r="AA68" s="2">
        <v>0.9</v>
      </c>
      <c r="AB68" s="2">
        <v>1.37</v>
      </c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</row>
    <row r="69" spans="1:57">
      <c r="A69" s="2">
        <v>1144</v>
      </c>
      <c r="B69" s="2">
        <v>30</v>
      </c>
      <c r="C69" s="2"/>
      <c r="D69" s="2"/>
      <c r="E69" s="2"/>
      <c r="F69" s="2" t="s">
        <v>181</v>
      </c>
      <c r="G69" s="2" t="s">
        <v>432</v>
      </c>
      <c r="H69" s="2" t="s">
        <v>427</v>
      </c>
      <c r="I69" s="2" t="s">
        <v>309</v>
      </c>
      <c r="J69" s="2" t="s">
        <v>29</v>
      </c>
      <c r="K69" s="2" t="s">
        <v>30</v>
      </c>
      <c r="L69" s="2">
        <v>113572</v>
      </c>
      <c r="M69" s="2" t="s">
        <v>101</v>
      </c>
      <c r="N69" s="2" t="s">
        <v>31</v>
      </c>
      <c r="O69" s="2" t="s">
        <v>376</v>
      </c>
      <c r="P69" s="2" t="s">
        <v>377</v>
      </c>
      <c r="Q69" s="2" t="s">
        <v>229</v>
      </c>
      <c r="R69" s="2" t="s">
        <v>33</v>
      </c>
      <c r="S69" s="2" t="s">
        <v>378</v>
      </c>
      <c r="T69" s="2" t="s">
        <v>113</v>
      </c>
      <c r="U69" s="2">
        <v>10.5</v>
      </c>
      <c r="V69" s="2" t="s">
        <v>231</v>
      </c>
      <c r="W69" s="2" t="s">
        <v>379</v>
      </c>
      <c r="X69" s="2" t="s">
        <v>292</v>
      </c>
      <c r="Y69" s="2" t="s">
        <v>38</v>
      </c>
      <c r="Z69" s="2">
        <v>1.28</v>
      </c>
      <c r="AA69" s="2">
        <v>0.92</v>
      </c>
      <c r="AB69" s="2">
        <v>1.76</v>
      </c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</row>
    <row r="70" spans="1:57">
      <c r="A70" s="2">
        <v>1144</v>
      </c>
      <c r="B70" s="2">
        <v>31</v>
      </c>
      <c r="C70" s="2"/>
      <c r="D70" s="2"/>
      <c r="E70" s="2"/>
      <c r="F70" s="2" t="s">
        <v>181</v>
      </c>
      <c r="G70" s="2" t="s">
        <v>433</v>
      </c>
      <c r="H70" s="2" t="s">
        <v>434</v>
      </c>
      <c r="I70" s="2" t="s">
        <v>309</v>
      </c>
      <c r="J70" s="2" t="s">
        <v>29</v>
      </c>
      <c r="K70" s="2" t="s">
        <v>30</v>
      </c>
      <c r="L70" s="2">
        <v>19494</v>
      </c>
      <c r="M70" s="2" t="s">
        <v>101</v>
      </c>
      <c r="N70" s="2" t="s">
        <v>31</v>
      </c>
      <c r="O70" s="2" t="s">
        <v>376</v>
      </c>
      <c r="P70" s="2" t="s">
        <v>377</v>
      </c>
      <c r="Q70" s="2" t="s">
        <v>229</v>
      </c>
      <c r="R70" s="2" t="s">
        <v>33</v>
      </c>
      <c r="S70" s="2" t="s">
        <v>378</v>
      </c>
      <c r="T70" s="2" t="s">
        <v>113</v>
      </c>
      <c r="U70" s="2">
        <v>10.5</v>
      </c>
      <c r="V70" s="2" t="s">
        <v>231</v>
      </c>
      <c r="W70" s="2" t="s">
        <v>379</v>
      </c>
      <c r="X70" s="2" t="s">
        <v>292</v>
      </c>
      <c r="Y70" s="2" t="s">
        <v>38</v>
      </c>
      <c r="Z70" s="2">
        <v>1.66</v>
      </c>
      <c r="AA70" s="2">
        <v>1.16</v>
      </c>
      <c r="AB70" s="2">
        <v>2.37</v>
      </c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</row>
    <row r="71" spans="1:57">
      <c r="A71" s="2">
        <v>1144</v>
      </c>
      <c r="B71" s="2">
        <v>32</v>
      </c>
      <c r="C71" s="2"/>
      <c r="D71" s="2"/>
      <c r="E71" s="2"/>
      <c r="F71" s="2" t="s">
        <v>181</v>
      </c>
      <c r="G71" s="2" t="s">
        <v>435</v>
      </c>
      <c r="H71" s="2" t="s">
        <v>436</v>
      </c>
      <c r="I71" s="2" t="s">
        <v>309</v>
      </c>
      <c r="J71" s="2" t="s">
        <v>29</v>
      </c>
      <c r="K71" s="2" t="s">
        <v>30</v>
      </c>
      <c r="L71" s="2">
        <v>24259</v>
      </c>
      <c r="M71" s="2" t="s">
        <v>101</v>
      </c>
      <c r="N71" s="2" t="s">
        <v>31</v>
      </c>
      <c r="O71" s="2" t="s">
        <v>376</v>
      </c>
      <c r="P71" s="2" t="s">
        <v>377</v>
      </c>
      <c r="Q71" s="2" t="s">
        <v>229</v>
      </c>
      <c r="R71" s="2" t="s">
        <v>33</v>
      </c>
      <c r="S71" s="2" t="s">
        <v>378</v>
      </c>
      <c r="T71" s="2" t="s">
        <v>113</v>
      </c>
      <c r="U71" s="2">
        <v>10.5</v>
      </c>
      <c r="V71" s="2" t="s">
        <v>231</v>
      </c>
      <c r="W71" s="2" t="s">
        <v>379</v>
      </c>
      <c r="X71" s="2" t="s">
        <v>292</v>
      </c>
      <c r="Y71" s="2" t="s">
        <v>38</v>
      </c>
      <c r="Z71" s="2">
        <v>1.4</v>
      </c>
      <c r="AA71" s="2">
        <v>1.13</v>
      </c>
      <c r="AB71" s="2">
        <v>1.72</v>
      </c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</row>
    <row r="72" spans="1:57">
      <c r="A72" s="2">
        <v>1144</v>
      </c>
      <c r="B72" s="2">
        <v>33</v>
      </c>
      <c r="C72" s="2"/>
      <c r="D72" s="2"/>
      <c r="E72" s="2"/>
      <c r="F72" s="2" t="s">
        <v>181</v>
      </c>
      <c r="G72" s="2" t="s">
        <v>437</v>
      </c>
      <c r="H72" s="2" t="s">
        <v>436</v>
      </c>
      <c r="I72" s="2" t="s">
        <v>309</v>
      </c>
      <c r="J72" s="2" t="s">
        <v>29</v>
      </c>
      <c r="K72" s="2" t="s">
        <v>30</v>
      </c>
      <c r="L72" s="2">
        <v>18547</v>
      </c>
      <c r="M72" s="2" t="s">
        <v>101</v>
      </c>
      <c r="N72" s="2" t="s">
        <v>31</v>
      </c>
      <c r="O72" s="2" t="s">
        <v>376</v>
      </c>
      <c r="P72" s="2" t="s">
        <v>377</v>
      </c>
      <c r="Q72" s="2" t="s">
        <v>229</v>
      </c>
      <c r="R72" s="2" t="s">
        <v>33</v>
      </c>
      <c r="S72" s="2" t="s">
        <v>378</v>
      </c>
      <c r="T72" s="2" t="s">
        <v>113</v>
      </c>
      <c r="U72" s="2">
        <v>10.5</v>
      </c>
      <c r="V72" s="2" t="s">
        <v>231</v>
      </c>
      <c r="W72" s="2" t="s">
        <v>379</v>
      </c>
      <c r="X72" s="2" t="s">
        <v>292</v>
      </c>
      <c r="Y72" s="2" t="s">
        <v>38</v>
      </c>
      <c r="Z72" s="2">
        <v>1.02</v>
      </c>
      <c r="AA72" s="2">
        <v>0.72</v>
      </c>
      <c r="AB72" s="2">
        <v>1.43</v>
      </c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</row>
    <row r="73" spans="1:57">
      <c r="A73" s="2">
        <v>1144</v>
      </c>
      <c r="B73" s="2">
        <v>34</v>
      </c>
      <c r="C73" s="2"/>
      <c r="D73" s="2"/>
      <c r="E73" s="2"/>
      <c r="F73" s="2" t="s">
        <v>181</v>
      </c>
      <c r="G73" s="2" t="s">
        <v>438</v>
      </c>
      <c r="H73" s="2" t="s">
        <v>436</v>
      </c>
      <c r="I73" s="2" t="s">
        <v>309</v>
      </c>
      <c r="J73" s="2" t="s">
        <v>29</v>
      </c>
      <c r="K73" s="2" t="s">
        <v>30</v>
      </c>
      <c r="L73" s="2">
        <v>22956</v>
      </c>
      <c r="M73" s="2" t="s">
        <v>101</v>
      </c>
      <c r="N73" s="2" t="s">
        <v>31</v>
      </c>
      <c r="O73" s="2" t="s">
        <v>376</v>
      </c>
      <c r="P73" s="2" t="s">
        <v>377</v>
      </c>
      <c r="Q73" s="2" t="s">
        <v>229</v>
      </c>
      <c r="R73" s="2" t="s">
        <v>33</v>
      </c>
      <c r="S73" s="2" t="s">
        <v>378</v>
      </c>
      <c r="T73" s="2" t="s">
        <v>113</v>
      </c>
      <c r="U73" s="2">
        <v>10.5</v>
      </c>
      <c r="V73" s="2" t="s">
        <v>231</v>
      </c>
      <c r="W73" s="2" t="s">
        <v>379</v>
      </c>
      <c r="X73" s="2" t="s">
        <v>292</v>
      </c>
      <c r="Y73" s="2" t="s">
        <v>38</v>
      </c>
      <c r="Z73" s="2">
        <v>1.03</v>
      </c>
      <c r="AA73" s="2">
        <v>0.83</v>
      </c>
      <c r="AB73" s="2">
        <v>1.27</v>
      </c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</row>
    <row r="74" spans="1:57">
      <c r="A74" s="2">
        <v>1144</v>
      </c>
      <c r="B74" s="2">
        <v>35</v>
      </c>
      <c r="C74" s="2"/>
      <c r="D74" s="2"/>
      <c r="E74" s="2"/>
      <c r="F74" s="2" t="s">
        <v>181</v>
      </c>
      <c r="G74" s="2" t="s">
        <v>439</v>
      </c>
      <c r="H74" s="2" t="s">
        <v>440</v>
      </c>
      <c r="I74" s="2" t="s">
        <v>309</v>
      </c>
      <c r="J74" s="2" t="s">
        <v>29</v>
      </c>
      <c r="K74" s="2" t="s">
        <v>30</v>
      </c>
      <c r="L74" s="2">
        <v>147246</v>
      </c>
      <c r="M74" s="2" t="s">
        <v>101</v>
      </c>
      <c r="N74" s="2" t="s">
        <v>31</v>
      </c>
      <c r="O74" s="2" t="s">
        <v>376</v>
      </c>
      <c r="P74" s="2" t="s">
        <v>377</v>
      </c>
      <c r="Q74" s="2" t="s">
        <v>229</v>
      </c>
      <c r="R74" s="2" t="s">
        <v>33</v>
      </c>
      <c r="S74" s="2" t="s">
        <v>378</v>
      </c>
      <c r="T74" s="2" t="s">
        <v>113</v>
      </c>
      <c r="U74" s="2">
        <v>10.5</v>
      </c>
      <c r="V74" s="2" t="s">
        <v>231</v>
      </c>
      <c r="W74" s="2" t="s">
        <v>379</v>
      </c>
      <c r="X74" s="2" t="s">
        <v>292</v>
      </c>
      <c r="Y74" s="2" t="s">
        <v>38</v>
      </c>
      <c r="Z74" s="2">
        <v>1.08</v>
      </c>
      <c r="AA74" s="2">
        <v>0.99</v>
      </c>
      <c r="AB74" s="2">
        <v>1.17</v>
      </c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</row>
    <row r="75" spans="1:57">
      <c r="A75" s="2">
        <v>1144</v>
      </c>
      <c r="B75" s="2">
        <v>36</v>
      </c>
      <c r="C75" s="2"/>
      <c r="D75" s="2"/>
      <c r="E75" s="2"/>
      <c r="F75" s="2" t="s">
        <v>181</v>
      </c>
      <c r="G75" s="2" t="s">
        <v>441</v>
      </c>
      <c r="H75" s="2" t="s">
        <v>442</v>
      </c>
      <c r="I75" s="2" t="s">
        <v>309</v>
      </c>
      <c r="J75" s="2" t="s">
        <v>29</v>
      </c>
      <c r="K75" s="2" t="s">
        <v>30</v>
      </c>
      <c r="L75" s="2">
        <v>40232</v>
      </c>
      <c r="M75" s="2" t="s">
        <v>101</v>
      </c>
      <c r="N75" s="2" t="s">
        <v>31</v>
      </c>
      <c r="O75" s="2" t="s">
        <v>376</v>
      </c>
      <c r="P75" s="2" t="s">
        <v>377</v>
      </c>
      <c r="Q75" s="2" t="s">
        <v>229</v>
      </c>
      <c r="R75" s="2" t="s">
        <v>33</v>
      </c>
      <c r="S75" s="2" t="s">
        <v>378</v>
      </c>
      <c r="T75" s="2" t="s">
        <v>113</v>
      </c>
      <c r="U75" s="2">
        <v>10.5</v>
      </c>
      <c r="V75" s="2" t="s">
        <v>231</v>
      </c>
      <c r="W75" s="2" t="s">
        <v>379</v>
      </c>
      <c r="X75" s="2" t="s">
        <v>292</v>
      </c>
      <c r="Y75" s="2" t="s">
        <v>38</v>
      </c>
      <c r="Z75" s="2">
        <v>1.41</v>
      </c>
      <c r="AA75" s="2">
        <v>1.22</v>
      </c>
      <c r="AB75" s="2">
        <v>1.62</v>
      </c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</row>
    <row r="76" spans="1:57">
      <c r="A76" s="2">
        <v>1144</v>
      </c>
      <c r="B76" s="2">
        <v>37</v>
      </c>
      <c r="C76" s="2"/>
      <c r="D76" s="2"/>
      <c r="E76" s="2"/>
      <c r="F76" s="2" t="s">
        <v>181</v>
      </c>
      <c r="G76" s="2" t="s">
        <v>443</v>
      </c>
      <c r="H76" s="2" t="s">
        <v>436</v>
      </c>
      <c r="I76" s="2" t="s">
        <v>309</v>
      </c>
      <c r="J76" s="2" t="s">
        <v>29</v>
      </c>
      <c r="K76" s="2" t="s">
        <v>30</v>
      </c>
      <c r="L76" s="2">
        <v>19439</v>
      </c>
      <c r="M76" s="2" t="s">
        <v>101</v>
      </c>
      <c r="N76" s="2" t="s">
        <v>31</v>
      </c>
      <c r="O76" s="2" t="s">
        <v>376</v>
      </c>
      <c r="P76" s="2" t="s">
        <v>377</v>
      </c>
      <c r="Q76" s="2" t="s">
        <v>229</v>
      </c>
      <c r="R76" s="2" t="s">
        <v>33</v>
      </c>
      <c r="S76" s="2" t="s">
        <v>378</v>
      </c>
      <c r="T76" s="2" t="s">
        <v>113</v>
      </c>
      <c r="U76" s="2">
        <v>10.5</v>
      </c>
      <c r="V76" s="2" t="s">
        <v>231</v>
      </c>
      <c r="W76" s="2" t="s">
        <v>379</v>
      </c>
      <c r="X76" s="2" t="s">
        <v>292</v>
      </c>
      <c r="Y76" s="2" t="s">
        <v>38</v>
      </c>
      <c r="Z76" s="2">
        <v>1.06</v>
      </c>
      <c r="AA76" s="2">
        <v>0.87</v>
      </c>
      <c r="AB76" s="2">
        <v>1.29</v>
      </c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</row>
    <row r="77" spans="1:57">
      <c r="A77" s="2">
        <v>1144</v>
      </c>
      <c r="B77" s="2">
        <v>38</v>
      </c>
      <c r="C77" s="2"/>
      <c r="D77" s="2"/>
      <c r="E77" s="2"/>
      <c r="F77" s="2" t="s">
        <v>181</v>
      </c>
      <c r="G77" s="2" t="s">
        <v>444</v>
      </c>
      <c r="H77" s="2" t="s">
        <v>434</v>
      </c>
      <c r="I77" s="2" t="s">
        <v>309</v>
      </c>
      <c r="J77" s="2" t="s">
        <v>29</v>
      </c>
      <c r="K77" s="2" t="s">
        <v>30</v>
      </c>
      <c r="L77" s="2">
        <v>56761</v>
      </c>
      <c r="M77" s="2" t="s">
        <v>101</v>
      </c>
      <c r="N77" s="2" t="s">
        <v>31</v>
      </c>
      <c r="O77" s="2" t="s">
        <v>376</v>
      </c>
      <c r="P77" s="2" t="s">
        <v>377</v>
      </c>
      <c r="Q77" s="2" t="s">
        <v>229</v>
      </c>
      <c r="R77" s="2" t="s">
        <v>33</v>
      </c>
      <c r="S77" s="2" t="s">
        <v>378</v>
      </c>
      <c r="T77" s="2" t="s">
        <v>113</v>
      </c>
      <c r="U77" s="2">
        <v>10.5</v>
      </c>
      <c r="V77" s="2" t="s">
        <v>231</v>
      </c>
      <c r="W77" s="2" t="s">
        <v>379</v>
      </c>
      <c r="X77" s="2" t="s">
        <v>292</v>
      </c>
      <c r="Y77" s="2" t="s">
        <v>38</v>
      </c>
      <c r="Z77" s="2">
        <v>1.38</v>
      </c>
      <c r="AA77" s="2">
        <v>1.2</v>
      </c>
      <c r="AB77" s="2">
        <v>1.58</v>
      </c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</row>
    <row r="78" spans="1:57">
      <c r="A78" s="2">
        <v>1144</v>
      </c>
      <c r="B78" s="2">
        <v>39</v>
      </c>
      <c r="C78" s="2"/>
      <c r="D78" s="2"/>
      <c r="E78" s="2"/>
      <c r="F78" s="2" t="s">
        <v>181</v>
      </c>
      <c r="G78" s="2" t="s">
        <v>445</v>
      </c>
      <c r="H78" s="2" t="s">
        <v>434</v>
      </c>
      <c r="I78" s="2" t="s">
        <v>309</v>
      </c>
      <c r="J78" s="2" t="s">
        <v>29</v>
      </c>
      <c r="K78" s="2" t="s">
        <v>30</v>
      </c>
      <c r="L78" s="2">
        <v>36322</v>
      </c>
      <c r="M78" s="2" t="s">
        <v>101</v>
      </c>
      <c r="N78" s="2" t="s">
        <v>31</v>
      </c>
      <c r="O78" s="2" t="s">
        <v>376</v>
      </c>
      <c r="P78" s="2" t="s">
        <v>377</v>
      </c>
      <c r="Q78" s="2" t="s">
        <v>229</v>
      </c>
      <c r="R78" s="2" t="s">
        <v>33</v>
      </c>
      <c r="S78" s="2" t="s">
        <v>378</v>
      </c>
      <c r="T78" s="2" t="s">
        <v>113</v>
      </c>
      <c r="U78" s="2">
        <v>10.5</v>
      </c>
      <c r="V78" s="2" t="s">
        <v>231</v>
      </c>
      <c r="W78" s="2" t="s">
        <v>379</v>
      </c>
      <c r="X78" s="2" t="s">
        <v>292</v>
      </c>
      <c r="Y78" s="2" t="s">
        <v>38</v>
      </c>
      <c r="Z78" s="2">
        <v>1.46</v>
      </c>
      <c r="AA78" s="2">
        <v>1.22</v>
      </c>
      <c r="AB78" s="2">
        <v>1.74</v>
      </c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</row>
    <row r="79" spans="1:57">
      <c r="A79" s="2">
        <v>1144</v>
      </c>
      <c r="B79" s="2">
        <v>40</v>
      </c>
      <c r="C79" s="2"/>
      <c r="D79" s="2"/>
      <c r="E79" s="2"/>
      <c r="F79" s="2" t="s">
        <v>181</v>
      </c>
      <c r="G79" s="2" t="s">
        <v>446</v>
      </c>
      <c r="H79" s="2" t="s">
        <v>447</v>
      </c>
      <c r="I79" s="2" t="s">
        <v>309</v>
      </c>
      <c r="J79" s="2" t="s">
        <v>29</v>
      </c>
      <c r="K79" s="2" t="s">
        <v>30</v>
      </c>
      <c r="L79" s="2">
        <v>251881</v>
      </c>
      <c r="M79" s="2" t="s">
        <v>101</v>
      </c>
      <c r="N79" s="2" t="s">
        <v>31</v>
      </c>
      <c r="O79" s="2" t="s">
        <v>376</v>
      </c>
      <c r="P79" s="2" t="s">
        <v>377</v>
      </c>
      <c r="Q79" s="2" t="s">
        <v>229</v>
      </c>
      <c r="R79" s="2" t="s">
        <v>33</v>
      </c>
      <c r="S79" s="2" t="s">
        <v>378</v>
      </c>
      <c r="T79" s="2" t="s">
        <v>113</v>
      </c>
      <c r="U79" s="2">
        <v>10.5</v>
      </c>
      <c r="V79" s="2" t="s">
        <v>231</v>
      </c>
      <c r="W79" s="2" t="s">
        <v>379</v>
      </c>
      <c r="X79" s="2" t="s">
        <v>292</v>
      </c>
      <c r="Y79" s="2" t="s">
        <v>38</v>
      </c>
      <c r="Z79" s="2">
        <v>1.55</v>
      </c>
      <c r="AA79" s="2">
        <v>1.45</v>
      </c>
      <c r="AB79" s="2">
        <v>1.66</v>
      </c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</row>
    <row r="80" spans="1:57">
      <c r="A80" s="2">
        <v>1144</v>
      </c>
      <c r="B80" s="2">
        <v>41</v>
      </c>
      <c r="C80" s="2"/>
      <c r="D80" s="2"/>
      <c r="E80" s="2"/>
      <c r="F80" s="2" t="s">
        <v>181</v>
      </c>
      <c r="G80" s="2" t="s">
        <v>448</v>
      </c>
      <c r="H80" s="2" t="s">
        <v>449</v>
      </c>
      <c r="I80" s="2" t="s">
        <v>309</v>
      </c>
      <c r="J80" s="2" t="s">
        <v>29</v>
      </c>
      <c r="K80" s="2" t="s">
        <v>30</v>
      </c>
      <c r="L80" s="2">
        <v>36088</v>
      </c>
      <c r="M80" s="2" t="s">
        <v>101</v>
      </c>
      <c r="N80" s="2" t="s">
        <v>31</v>
      </c>
      <c r="O80" s="2" t="s">
        <v>376</v>
      </c>
      <c r="P80" s="2" t="s">
        <v>377</v>
      </c>
      <c r="Q80" s="2" t="s">
        <v>229</v>
      </c>
      <c r="R80" s="2" t="s">
        <v>33</v>
      </c>
      <c r="S80" s="2" t="s">
        <v>378</v>
      </c>
      <c r="T80" s="2" t="s">
        <v>113</v>
      </c>
      <c r="U80" s="2">
        <v>10.5</v>
      </c>
      <c r="V80" s="2" t="s">
        <v>231</v>
      </c>
      <c r="W80" s="2" t="s">
        <v>379</v>
      </c>
      <c r="X80" s="2" t="s">
        <v>292</v>
      </c>
      <c r="Y80" s="2" t="s">
        <v>38</v>
      </c>
      <c r="Z80" s="2">
        <v>1.24</v>
      </c>
      <c r="AA80" s="2">
        <v>1.05</v>
      </c>
      <c r="AB80" s="2">
        <v>1.46</v>
      </c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</row>
    <row r="81" spans="1:57">
      <c r="A81" s="2">
        <v>1144</v>
      </c>
      <c r="B81" s="2">
        <v>42</v>
      </c>
      <c r="C81" s="2"/>
      <c r="D81" s="2"/>
      <c r="E81" s="2"/>
      <c r="F81" s="2" t="s">
        <v>181</v>
      </c>
      <c r="G81" s="2" t="s">
        <v>450</v>
      </c>
      <c r="H81" s="2" t="s">
        <v>436</v>
      </c>
      <c r="I81" s="2" t="s">
        <v>309</v>
      </c>
      <c r="J81" s="2" t="s">
        <v>29</v>
      </c>
      <c r="K81" s="2" t="s">
        <v>30</v>
      </c>
      <c r="L81" s="2">
        <v>30433</v>
      </c>
      <c r="M81" s="2" t="s">
        <v>101</v>
      </c>
      <c r="N81" s="2" t="s">
        <v>31</v>
      </c>
      <c r="O81" s="2" t="s">
        <v>376</v>
      </c>
      <c r="P81" s="2" t="s">
        <v>377</v>
      </c>
      <c r="Q81" s="2" t="s">
        <v>229</v>
      </c>
      <c r="R81" s="2" t="s">
        <v>33</v>
      </c>
      <c r="S81" s="2" t="s">
        <v>378</v>
      </c>
      <c r="T81" s="2" t="s">
        <v>113</v>
      </c>
      <c r="U81" s="2">
        <v>10.5</v>
      </c>
      <c r="V81" s="2" t="s">
        <v>231</v>
      </c>
      <c r="W81" s="2" t="s">
        <v>379</v>
      </c>
      <c r="X81" s="2" t="s">
        <v>292</v>
      </c>
      <c r="Y81" s="2" t="s">
        <v>38</v>
      </c>
      <c r="Z81" s="2">
        <v>1.15</v>
      </c>
      <c r="AA81" s="2">
        <v>0.97</v>
      </c>
      <c r="AB81" s="2">
        <v>1.35</v>
      </c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</row>
    <row r="82" spans="1:57">
      <c r="A82" s="2">
        <v>1149</v>
      </c>
      <c r="B82" s="2">
        <v>1</v>
      </c>
      <c r="C82" s="2"/>
      <c r="D82" s="2"/>
      <c r="E82" s="2"/>
      <c r="F82" s="2" t="s">
        <v>451</v>
      </c>
      <c r="G82" s="2" t="s">
        <v>117</v>
      </c>
      <c r="H82" s="2" t="s">
        <v>117</v>
      </c>
      <c r="I82" s="2" t="s">
        <v>28</v>
      </c>
      <c r="J82" s="2" t="s">
        <v>29</v>
      </c>
      <c r="K82" s="2" t="s">
        <v>50</v>
      </c>
      <c r="L82" s="2" t="s">
        <v>452</v>
      </c>
      <c r="M82" s="2" t="s">
        <v>101</v>
      </c>
      <c r="N82" s="2" t="s">
        <v>31</v>
      </c>
      <c r="O82" s="2" t="s">
        <v>453</v>
      </c>
      <c r="P82" s="2" t="s">
        <v>454</v>
      </c>
      <c r="Q82" s="2" t="s">
        <v>229</v>
      </c>
      <c r="R82" s="2" t="s">
        <v>33</v>
      </c>
      <c r="S82" s="2" t="s">
        <v>455</v>
      </c>
      <c r="T82" s="2" t="s">
        <v>113</v>
      </c>
      <c r="U82" s="2">
        <v>10.5</v>
      </c>
      <c r="V82" s="2" t="s">
        <v>231</v>
      </c>
      <c r="W82" s="2" t="s">
        <v>379</v>
      </c>
      <c r="X82" s="2" t="s">
        <v>292</v>
      </c>
      <c r="Y82" s="2" t="s">
        <v>38</v>
      </c>
      <c r="Z82" s="2">
        <v>1.18</v>
      </c>
      <c r="AA82" s="2">
        <v>1.13</v>
      </c>
      <c r="AB82" s="2">
        <v>1.23</v>
      </c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</row>
    <row r="83" spans="1:57">
      <c r="A83" s="2">
        <v>1149</v>
      </c>
      <c r="B83" s="2">
        <v>2</v>
      </c>
      <c r="C83" s="2"/>
      <c r="D83" s="2"/>
      <c r="E83" s="2"/>
      <c r="F83" s="2" t="s">
        <v>451</v>
      </c>
      <c r="G83" s="2" t="s">
        <v>117</v>
      </c>
      <c r="H83" s="2" t="s">
        <v>117</v>
      </c>
      <c r="I83" s="2" t="s">
        <v>28</v>
      </c>
      <c r="J83" s="2" t="s">
        <v>29</v>
      </c>
      <c r="K83" s="2" t="s">
        <v>50</v>
      </c>
      <c r="L83" s="2" t="s">
        <v>452</v>
      </c>
      <c r="M83" s="2" t="s">
        <v>101</v>
      </c>
      <c r="N83" s="2" t="s">
        <v>31</v>
      </c>
      <c r="O83" s="2" t="s">
        <v>456</v>
      </c>
      <c r="P83" s="2" t="s">
        <v>454</v>
      </c>
      <c r="Q83" s="2" t="s">
        <v>229</v>
      </c>
      <c r="R83" s="2" t="s">
        <v>33</v>
      </c>
      <c r="S83" s="2" t="s">
        <v>455</v>
      </c>
      <c r="T83" s="2" t="s">
        <v>113</v>
      </c>
      <c r="U83" s="2">
        <v>10.5</v>
      </c>
      <c r="V83" s="2" t="s">
        <v>231</v>
      </c>
      <c r="W83" s="2" t="s">
        <v>379</v>
      </c>
      <c r="X83" s="2" t="s">
        <v>292</v>
      </c>
      <c r="Y83" s="2" t="s">
        <v>38</v>
      </c>
      <c r="Z83" s="2">
        <v>1.04</v>
      </c>
      <c r="AA83" s="2">
        <v>1.01</v>
      </c>
      <c r="AB83" s="2">
        <v>1.07</v>
      </c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</row>
    <row r="84" spans="1:57">
      <c r="A84" s="2">
        <v>1157</v>
      </c>
      <c r="B84" s="2">
        <v>1</v>
      </c>
      <c r="C84" s="2"/>
      <c r="D84" s="2"/>
      <c r="E84" s="2"/>
      <c r="F84" s="2" t="s">
        <v>244</v>
      </c>
      <c r="G84" s="2" t="s">
        <v>245</v>
      </c>
      <c r="H84" s="2" t="s">
        <v>245</v>
      </c>
      <c r="I84" s="2" t="s">
        <v>28</v>
      </c>
      <c r="J84" s="2" t="s">
        <v>29</v>
      </c>
      <c r="K84" s="2" t="s">
        <v>50</v>
      </c>
      <c r="L84" s="2" t="s">
        <v>101</v>
      </c>
      <c r="M84" s="2" t="s">
        <v>101</v>
      </c>
      <c r="N84" s="2" t="s">
        <v>31</v>
      </c>
      <c r="O84" s="2" t="s">
        <v>246</v>
      </c>
      <c r="P84" s="2" t="s">
        <v>247</v>
      </c>
      <c r="Q84" s="2" t="s">
        <v>229</v>
      </c>
      <c r="R84" s="2" t="s">
        <v>33</v>
      </c>
      <c r="S84" s="2" t="s">
        <v>248</v>
      </c>
      <c r="T84" s="2" t="s">
        <v>63</v>
      </c>
      <c r="U84" s="2">
        <v>3.5</v>
      </c>
      <c r="V84" s="2" t="s">
        <v>231</v>
      </c>
      <c r="W84" s="2" t="s">
        <v>457</v>
      </c>
      <c r="X84" s="2" t="s">
        <v>292</v>
      </c>
      <c r="Y84" s="2" t="s">
        <v>38</v>
      </c>
      <c r="Z84" s="2">
        <v>1.055</v>
      </c>
      <c r="AA84" s="2">
        <v>1.019</v>
      </c>
      <c r="AB84" s="2">
        <v>1.092</v>
      </c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</row>
    <row r="85" spans="1:57">
      <c r="A85" s="2">
        <v>1157</v>
      </c>
      <c r="B85" s="2">
        <v>2</v>
      </c>
      <c r="C85" s="2"/>
      <c r="D85" s="2"/>
      <c r="E85" s="2"/>
      <c r="F85" s="2" t="s">
        <v>250</v>
      </c>
      <c r="G85" s="2" t="s">
        <v>245</v>
      </c>
      <c r="H85" s="2" t="s">
        <v>245</v>
      </c>
      <c r="I85" s="2" t="s">
        <v>28</v>
      </c>
      <c r="J85" s="2" t="s">
        <v>29</v>
      </c>
      <c r="K85" s="2" t="s">
        <v>50</v>
      </c>
      <c r="L85" s="2" t="s">
        <v>101</v>
      </c>
      <c r="M85" s="2" t="s">
        <v>101</v>
      </c>
      <c r="N85" s="2" t="s">
        <v>31</v>
      </c>
      <c r="O85" s="2" t="s">
        <v>246</v>
      </c>
      <c r="P85" s="2" t="s">
        <v>247</v>
      </c>
      <c r="Q85" s="2" t="s">
        <v>229</v>
      </c>
      <c r="R85" s="2" t="s">
        <v>33</v>
      </c>
      <c r="S85" s="2" t="s">
        <v>248</v>
      </c>
      <c r="T85" s="2" t="s">
        <v>63</v>
      </c>
      <c r="U85" s="2">
        <v>3.5</v>
      </c>
      <c r="V85" s="2" t="s">
        <v>231</v>
      </c>
      <c r="W85" s="2" t="s">
        <v>457</v>
      </c>
      <c r="X85" s="2" t="s">
        <v>292</v>
      </c>
      <c r="Y85" s="2" t="s">
        <v>38</v>
      </c>
      <c r="Z85" s="2">
        <v>1.114</v>
      </c>
      <c r="AA85" s="2">
        <v>1.031</v>
      </c>
      <c r="AB85" s="2">
        <v>1.204</v>
      </c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</row>
    <row r="86" spans="1:57">
      <c r="A86" s="5">
        <v>1173</v>
      </c>
      <c r="B86" s="5">
        <v>1</v>
      </c>
      <c r="C86" s="6" t="s">
        <v>458</v>
      </c>
      <c r="D86" s="7" t="s">
        <v>459</v>
      </c>
      <c r="E86" s="2"/>
      <c r="F86" s="2" t="s">
        <v>222</v>
      </c>
      <c r="G86" s="2" t="s">
        <v>367</v>
      </c>
      <c r="H86" s="8" t="s">
        <v>367</v>
      </c>
      <c r="I86" s="8" t="s">
        <v>129</v>
      </c>
      <c r="J86" s="8" t="s">
        <v>330</v>
      </c>
      <c r="K86" s="8" t="s">
        <v>50</v>
      </c>
      <c r="L86" s="2" t="s">
        <v>460</v>
      </c>
      <c r="M86" s="2">
        <v>0.528</v>
      </c>
      <c r="N86" s="9" t="s">
        <v>41</v>
      </c>
      <c r="O86" s="2" t="s">
        <v>461</v>
      </c>
      <c r="P86" s="2" t="s">
        <v>462</v>
      </c>
      <c r="Q86" s="2" t="s">
        <v>254</v>
      </c>
      <c r="R86" s="9" t="s">
        <v>33</v>
      </c>
      <c r="S86" s="2" t="s">
        <v>463</v>
      </c>
      <c r="T86" s="6" t="s">
        <v>63</v>
      </c>
      <c r="U86" s="9">
        <v>3.5</v>
      </c>
      <c r="V86" s="2" t="s">
        <v>35</v>
      </c>
      <c r="W86" s="2" t="s">
        <v>313</v>
      </c>
      <c r="X86" s="2" t="s">
        <v>292</v>
      </c>
      <c r="Y86" s="2" t="s">
        <v>146</v>
      </c>
      <c r="Z86" s="10">
        <v>1.24</v>
      </c>
      <c r="AA86" s="10">
        <v>1.16</v>
      </c>
      <c r="AB86" s="10">
        <v>1.32</v>
      </c>
    </row>
    <row r="87" spans="1:57">
      <c r="A87" s="5">
        <v>1173</v>
      </c>
      <c r="B87" s="5">
        <v>2</v>
      </c>
      <c r="C87" s="6"/>
      <c r="D87" s="7"/>
      <c r="E87" s="2"/>
      <c r="F87" s="2" t="s">
        <v>233</v>
      </c>
      <c r="G87" s="2" t="s">
        <v>367</v>
      </c>
      <c r="H87" s="8" t="s">
        <v>367</v>
      </c>
      <c r="I87" s="8" t="s">
        <v>129</v>
      </c>
      <c r="J87" s="8" t="s">
        <v>330</v>
      </c>
      <c r="K87" s="8" t="s">
        <v>50</v>
      </c>
      <c r="L87" s="2" t="s">
        <v>464</v>
      </c>
      <c r="M87" s="2">
        <v>0.359</v>
      </c>
      <c r="N87" s="9" t="s">
        <v>41</v>
      </c>
      <c r="O87" s="2" t="s">
        <v>461</v>
      </c>
      <c r="P87" s="2" t="s">
        <v>462</v>
      </c>
      <c r="Q87" s="2" t="s">
        <v>254</v>
      </c>
      <c r="R87" s="9" t="s">
        <v>33</v>
      </c>
      <c r="S87" s="2" t="s">
        <v>463</v>
      </c>
      <c r="T87" s="6" t="s">
        <v>63</v>
      </c>
      <c r="U87" s="9">
        <v>3.5</v>
      </c>
      <c r="V87" s="2" t="s">
        <v>35</v>
      </c>
      <c r="W87" s="2" t="s">
        <v>313</v>
      </c>
      <c r="X87" s="2" t="s">
        <v>292</v>
      </c>
      <c r="Y87" s="2" t="s">
        <v>146</v>
      </c>
      <c r="Z87" s="10">
        <v>1.26</v>
      </c>
      <c r="AA87" s="10">
        <v>1.19</v>
      </c>
      <c r="AB87" s="10">
        <v>1.33</v>
      </c>
    </row>
    <row r="88" spans="1:57">
      <c r="A88" s="5">
        <v>1175</v>
      </c>
      <c r="B88" s="5">
        <v>1</v>
      </c>
      <c r="C88" s="6"/>
      <c r="D88" s="7"/>
      <c r="E88" s="2"/>
      <c r="F88" s="2" t="s">
        <v>465</v>
      </c>
      <c r="G88" s="2" t="s">
        <v>466</v>
      </c>
      <c r="H88" s="8" t="s">
        <v>214</v>
      </c>
      <c r="I88" s="8" t="s">
        <v>214</v>
      </c>
      <c r="J88" s="8" t="s">
        <v>214</v>
      </c>
      <c r="K88" s="8" t="s">
        <v>214</v>
      </c>
      <c r="L88" s="2" t="s">
        <v>101</v>
      </c>
      <c r="M88" s="2" t="s">
        <v>101</v>
      </c>
      <c r="N88" s="9" t="s">
        <v>31</v>
      </c>
      <c r="O88" s="2" t="s">
        <v>467</v>
      </c>
      <c r="P88" s="2" t="s">
        <v>468</v>
      </c>
      <c r="Q88" s="2" t="s">
        <v>361</v>
      </c>
      <c r="R88" s="9" t="s">
        <v>33</v>
      </c>
      <c r="S88" s="2" t="s">
        <v>463</v>
      </c>
      <c r="T88" s="6" t="s">
        <v>113</v>
      </c>
      <c r="U88" s="9">
        <v>10.5</v>
      </c>
      <c r="V88" s="2" t="s">
        <v>35</v>
      </c>
      <c r="W88" s="2" t="s">
        <v>313</v>
      </c>
      <c r="X88" s="2" t="s">
        <v>292</v>
      </c>
      <c r="Y88" s="2" t="s">
        <v>38</v>
      </c>
      <c r="Z88" s="10">
        <v>1.09</v>
      </c>
      <c r="AA88" s="10">
        <v>1.06</v>
      </c>
      <c r="AB88" s="10">
        <v>1.12</v>
      </c>
    </row>
    <row r="89" spans="1:57">
      <c r="A89" s="5">
        <v>1175</v>
      </c>
      <c r="B89" s="5">
        <v>2</v>
      </c>
      <c r="C89" s="6"/>
      <c r="D89" s="7"/>
      <c r="E89" s="2"/>
      <c r="F89" s="2" t="s">
        <v>469</v>
      </c>
      <c r="G89" s="2" t="s">
        <v>466</v>
      </c>
      <c r="H89" s="8" t="s">
        <v>214</v>
      </c>
      <c r="I89" s="8" t="s">
        <v>214</v>
      </c>
      <c r="J89" s="8" t="s">
        <v>214</v>
      </c>
      <c r="K89" s="8" t="s">
        <v>214</v>
      </c>
      <c r="L89" s="2" t="s">
        <v>101</v>
      </c>
      <c r="M89" s="2" t="s">
        <v>101</v>
      </c>
      <c r="N89" s="9" t="s">
        <v>31</v>
      </c>
      <c r="O89" s="2" t="s">
        <v>467</v>
      </c>
      <c r="P89" s="2" t="s">
        <v>468</v>
      </c>
      <c r="Q89" s="2" t="s">
        <v>361</v>
      </c>
      <c r="R89" s="9" t="s">
        <v>33</v>
      </c>
      <c r="S89" s="2" t="s">
        <v>463</v>
      </c>
      <c r="T89" s="6" t="s">
        <v>113</v>
      </c>
      <c r="U89" s="9">
        <v>10.5</v>
      </c>
      <c r="V89" s="2" t="s">
        <v>35</v>
      </c>
      <c r="W89" s="2" t="s">
        <v>313</v>
      </c>
      <c r="X89" s="2" t="s">
        <v>292</v>
      </c>
      <c r="Y89" s="2" t="s">
        <v>38</v>
      </c>
      <c r="Z89" s="10">
        <v>1.16</v>
      </c>
      <c r="AA89" s="10">
        <v>1.13</v>
      </c>
      <c r="AB89" s="10">
        <v>1.19</v>
      </c>
    </row>
    <row r="90" spans="1:57">
      <c r="A90" s="5">
        <v>1181</v>
      </c>
      <c r="B90" s="5">
        <v>1</v>
      </c>
      <c r="C90" s="6"/>
      <c r="D90" s="7"/>
      <c r="E90" s="2"/>
      <c r="F90" s="2" t="s">
        <v>238</v>
      </c>
      <c r="G90" s="2" t="s">
        <v>360</v>
      </c>
      <c r="H90" s="8" t="s">
        <v>360</v>
      </c>
      <c r="I90" s="8" t="s">
        <v>28</v>
      </c>
      <c r="J90" s="8" t="s">
        <v>29</v>
      </c>
      <c r="K90" s="8" t="s">
        <v>30</v>
      </c>
      <c r="L90" s="2" t="s">
        <v>470</v>
      </c>
      <c r="M90" s="2" t="s">
        <v>101</v>
      </c>
      <c r="N90" s="9" t="s">
        <v>41</v>
      </c>
      <c r="O90" s="2" t="s">
        <v>471</v>
      </c>
      <c r="P90" s="2" t="s">
        <v>472</v>
      </c>
      <c r="Q90" s="2" t="s">
        <v>473</v>
      </c>
      <c r="R90" s="9" t="s">
        <v>33</v>
      </c>
      <c r="S90" s="2" t="s">
        <v>455</v>
      </c>
      <c r="T90" s="6" t="s">
        <v>187</v>
      </c>
      <c r="U90" s="9">
        <v>7</v>
      </c>
      <c r="V90" s="2" t="s">
        <v>35</v>
      </c>
      <c r="W90" s="2" t="s">
        <v>474</v>
      </c>
      <c r="X90" s="2" t="s">
        <v>292</v>
      </c>
      <c r="Y90" s="2" t="s">
        <v>146</v>
      </c>
      <c r="Z90" s="10">
        <v>1.09</v>
      </c>
      <c r="AA90" s="10">
        <v>1.07</v>
      </c>
      <c r="AB90" s="10">
        <v>1.11</v>
      </c>
    </row>
  </sheetData>
  <autoFilter xmlns:etc="http://www.wps.cn/officeDocument/2017/etCustomData" ref="A1:AB90" etc:filterBottomFollowUsedRange="0">
    <extLst/>
  </autoFilter>
  <mergeCells count="2">
    <mergeCell ref="C86:C87"/>
    <mergeCell ref="D86:D87"/>
  </mergeCells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B50"/>
  <sheetViews>
    <sheetView topLeftCell="A13" workbookViewId="0">
      <pane xSplit="1" topLeftCell="B1" activePane="topRight" state="frozen"/>
      <selection/>
      <selection pane="topRight" activeCell="H1" sqref="H1"/>
    </sheetView>
  </sheetViews>
  <sheetFormatPr defaultColWidth="9.02654867256637" defaultRowHeight="13.5"/>
  <cols>
    <col min="7" max="7" width="22.2389380530973" customWidth="1"/>
    <col min="11" max="11" width="19.0176991150442" customWidth="1"/>
    <col min="17" max="17" width="75.6725663716814" customWidth="1"/>
    <col min="23" max="23" width="42.0884955752212" customWidth="1"/>
  </cols>
  <sheetData>
    <row r="1" ht="13.9" spans="1:23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12" t="s">
        <v>19</v>
      </c>
      <c r="V1" s="2" t="s">
        <v>20</v>
      </c>
      <c r="W1" s="2" t="s">
        <v>21</v>
      </c>
      <c r="X1" s="2"/>
      <c r="Y1" s="2" t="s">
        <v>22</v>
      </c>
      <c r="Z1" s="2" t="s">
        <v>23</v>
      </c>
      <c r="AA1" s="2" t="s">
        <v>24</v>
      </c>
      <c r="AB1" s="2" t="s">
        <v>25</v>
      </c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</row>
    <row r="2" ht="13.85" spans="1:236">
      <c r="A2" s="2">
        <v>100</v>
      </c>
      <c r="B2" s="2">
        <v>1</v>
      </c>
      <c r="C2" s="2" t="s">
        <v>475</v>
      </c>
      <c r="D2" s="2">
        <v>2016</v>
      </c>
      <c r="E2" s="2" t="s">
        <v>476</v>
      </c>
      <c r="F2" s="2" t="s">
        <v>226</v>
      </c>
      <c r="G2" s="2" t="s">
        <v>477</v>
      </c>
      <c r="H2" s="2" t="s">
        <v>478</v>
      </c>
      <c r="I2" s="2" t="s">
        <v>48</v>
      </c>
      <c r="J2" s="2" t="s">
        <v>29</v>
      </c>
      <c r="K2" s="2" t="s">
        <v>50</v>
      </c>
      <c r="L2" s="2">
        <v>80221</v>
      </c>
      <c r="M2" s="2">
        <v>0.48</v>
      </c>
      <c r="N2" s="2" t="s">
        <v>31</v>
      </c>
      <c r="O2" s="2"/>
      <c r="P2" s="2" t="s">
        <v>479</v>
      </c>
      <c r="Q2" s="2" t="s">
        <v>480</v>
      </c>
      <c r="R2" s="2" t="s">
        <v>33</v>
      </c>
      <c r="S2" s="2"/>
      <c r="T2" s="2"/>
      <c r="U2" s="2"/>
      <c r="V2" s="2"/>
      <c r="W2" s="2" t="s">
        <v>481</v>
      </c>
      <c r="X2" s="2" t="s">
        <v>482</v>
      </c>
      <c r="Y2" s="2" t="s">
        <v>38</v>
      </c>
      <c r="Z2" s="2">
        <v>1.05</v>
      </c>
      <c r="AA2" s="2">
        <v>1.03</v>
      </c>
      <c r="AB2" s="2">
        <v>1.08</v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</row>
    <row r="3" ht="13.85" spans="1:236">
      <c r="A3" s="2">
        <v>100</v>
      </c>
      <c r="B3" s="2">
        <v>2</v>
      </c>
      <c r="C3" s="2"/>
      <c r="D3" s="2">
        <v>2016</v>
      </c>
      <c r="E3" s="2"/>
      <c r="F3" s="2" t="s">
        <v>224</v>
      </c>
      <c r="G3" s="2" t="s">
        <v>477</v>
      </c>
      <c r="H3" s="2" t="s">
        <v>478</v>
      </c>
      <c r="I3" s="2" t="s">
        <v>48</v>
      </c>
      <c r="J3" s="2" t="s">
        <v>29</v>
      </c>
      <c r="K3" s="2" t="s">
        <v>50</v>
      </c>
      <c r="L3" s="2">
        <v>11743</v>
      </c>
      <c r="M3" s="2">
        <v>0.52</v>
      </c>
      <c r="N3" s="2" t="s">
        <v>31</v>
      </c>
      <c r="O3" s="2"/>
      <c r="P3" s="2"/>
      <c r="Q3" s="2" t="s">
        <v>483</v>
      </c>
      <c r="R3" s="2" t="s">
        <v>33</v>
      </c>
      <c r="S3" s="2"/>
      <c r="T3" s="2"/>
      <c r="U3" s="2"/>
      <c r="V3" s="2"/>
      <c r="W3" s="2" t="s">
        <v>481</v>
      </c>
      <c r="X3" s="2" t="s">
        <v>482</v>
      </c>
      <c r="Y3" s="2" t="s">
        <v>38</v>
      </c>
      <c r="Z3" s="2">
        <v>1.13</v>
      </c>
      <c r="AA3" s="2">
        <v>1</v>
      </c>
      <c r="AB3" s="2">
        <v>1.26</v>
      </c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</row>
    <row r="4" ht="13.85" spans="1:236">
      <c r="A4" s="2">
        <v>183</v>
      </c>
      <c r="B4" s="2">
        <v>1</v>
      </c>
      <c r="C4" s="2"/>
      <c r="D4" s="2">
        <v>2023</v>
      </c>
      <c r="E4" s="2"/>
      <c r="F4" s="2"/>
      <c r="G4" s="2" t="s">
        <v>440</v>
      </c>
      <c r="H4" s="2" t="s">
        <v>440</v>
      </c>
      <c r="I4" s="2" t="s">
        <v>309</v>
      </c>
      <c r="J4" s="2" t="s">
        <v>29</v>
      </c>
      <c r="K4" s="2" t="s">
        <v>30</v>
      </c>
      <c r="L4" s="2"/>
      <c r="M4" s="2">
        <v>0.4</v>
      </c>
      <c r="N4" s="2" t="s">
        <v>118</v>
      </c>
      <c r="O4" s="2"/>
      <c r="P4" s="2"/>
      <c r="Q4" s="2" t="s">
        <v>484</v>
      </c>
      <c r="R4" s="2" t="s">
        <v>33</v>
      </c>
      <c r="S4" s="2"/>
      <c r="T4" s="2" t="s">
        <v>485</v>
      </c>
      <c r="U4" s="2">
        <v>5</v>
      </c>
      <c r="V4" s="2" t="s">
        <v>35</v>
      </c>
      <c r="W4" s="2" t="s">
        <v>486</v>
      </c>
      <c r="X4" s="2" t="s">
        <v>482</v>
      </c>
      <c r="Y4" s="2" t="s">
        <v>38</v>
      </c>
      <c r="Z4" s="2">
        <v>0.7</v>
      </c>
      <c r="AA4" s="2">
        <v>0.47</v>
      </c>
      <c r="AB4" s="2">
        <v>1.05</v>
      </c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</row>
    <row r="5" ht="13.85" spans="1:236">
      <c r="A5" s="2">
        <v>257</v>
      </c>
      <c r="B5" s="2">
        <v>1</v>
      </c>
      <c r="C5" s="2"/>
      <c r="D5" s="2">
        <v>2021</v>
      </c>
      <c r="E5" s="2"/>
      <c r="F5" s="2" t="s">
        <v>181</v>
      </c>
      <c r="G5" s="2" t="s">
        <v>487</v>
      </c>
      <c r="H5" s="2" t="s">
        <v>487</v>
      </c>
      <c r="I5" s="2" t="s">
        <v>28</v>
      </c>
      <c r="J5" s="2" t="s">
        <v>124</v>
      </c>
      <c r="K5" s="2" t="s">
        <v>30</v>
      </c>
      <c r="L5" s="2"/>
      <c r="M5" s="2">
        <v>0.54</v>
      </c>
      <c r="N5" s="2" t="s">
        <v>31</v>
      </c>
      <c r="O5" s="2"/>
      <c r="P5" s="2" t="s">
        <v>488</v>
      </c>
      <c r="Q5" s="2" t="s">
        <v>489</v>
      </c>
      <c r="R5" s="2" t="s">
        <v>33</v>
      </c>
      <c r="S5" s="2"/>
      <c r="T5" s="2">
        <v>0</v>
      </c>
      <c r="U5" s="2">
        <v>0</v>
      </c>
      <c r="V5" s="2" t="s">
        <v>139</v>
      </c>
      <c r="W5" s="2" t="s">
        <v>490</v>
      </c>
      <c r="X5" s="2" t="s">
        <v>482</v>
      </c>
      <c r="Y5" s="2" t="s">
        <v>338</v>
      </c>
      <c r="Z5" s="2">
        <v>1.18</v>
      </c>
      <c r="AA5" s="2">
        <v>1.143</v>
      </c>
      <c r="AB5" s="2">
        <v>1.218</v>
      </c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</row>
    <row r="6" ht="13.85" spans="1:236">
      <c r="A6" s="2">
        <v>326</v>
      </c>
      <c r="B6" s="2">
        <v>1</v>
      </c>
      <c r="C6" s="2" t="s">
        <v>491</v>
      </c>
      <c r="D6" s="2">
        <v>2018</v>
      </c>
      <c r="E6" s="2" t="s">
        <v>492</v>
      </c>
      <c r="F6" s="2" t="s">
        <v>26</v>
      </c>
      <c r="G6" s="2" t="s">
        <v>493</v>
      </c>
      <c r="H6" s="2" t="s">
        <v>493</v>
      </c>
      <c r="I6" s="2" t="s">
        <v>28</v>
      </c>
      <c r="J6" s="2" t="s">
        <v>29</v>
      </c>
      <c r="K6" s="2" t="s">
        <v>30</v>
      </c>
      <c r="L6" s="2" t="s">
        <v>494</v>
      </c>
      <c r="M6" s="2"/>
      <c r="N6" s="2" t="s">
        <v>31</v>
      </c>
      <c r="O6" s="2"/>
      <c r="P6" s="2" t="s">
        <v>495</v>
      </c>
      <c r="Q6" s="2" t="s">
        <v>496</v>
      </c>
      <c r="R6" s="2" t="s">
        <v>33</v>
      </c>
      <c r="S6" s="2"/>
      <c r="T6" s="2" t="s">
        <v>113</v>
      </c>
      <c r="U6" s="2">
        <v>10.5</v>
      </c>
      <c r="V6" s="2" t="s">
        <v>35</v>
      </c>
      <c r="W6" s="2" t="s">
        <v>497</v>
      </c>
      <c r="X6" s="2" t="s">
        <v>482</v>
      </c>
      <c r="Y6" s="2" t="s">
        <v>38</v>
      </c>
      <c r="Z6" s="2">
        <v>0.64</v>
      </c>
      <c r="AA6" s="2">
        <v>0.4</v>
      </c>
      <c r="AB6" s="2">
        <v>1.05</v>
      </c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</row>
    <row r="7" ht="13.85" spans="1:236">
      <c r="A7" s="2">
        <v>342</v>
      </c>
      <c r="B7" s="2">
        <v>1</v>
      </c>
      <c r="C7" s="2" t="s">
        <v>498</v>
      </c>
      <c r="D7" s="2">
        <v>2024</v>
      </c>
      <c r="E7" s="2" t="s">
        <v>499</v>
      </c>
      <c r="F7" s="2" t="s">
        <v>212</v>
      </c>
      <c r="G7" s="2" t="s">
        <v>245</v>
      </c>
      <c r="H7" s="2" t="s">
        <v>245</v>
      </c>
      <c r="I7" s="2" t="s">
        <v>28</v>
      </c>
      <c r="J7" s="2" t="s">
        <v>29</v>
      </c>
      <c r="K7" s="2" t="s">
        <v>50</v>
      </c>
      <c r="L7" s="2">
        <v>321552</v>
      </c>
      <c r="M7" s="2" t="s">
        <v>101</v>
      </c>
      <c r="N7" s="2" t="s">
        <v>31</v>
      </c>
      <c r="O7" s="2"/>
      <c r="P7" s="2" t="s">
        <v>500</v>
      </c>
      <c r="Q7" s="2" t="s">
        <v>501</v>
      </c>
      <c r="R7" s="2" t="s">
        <v>33</v>
      </c>
      <c r="S7" s="2"/>
      <c r="T7" s="2">
        <v>0</v>
      </c>
      <c r="U7" s="2">
        <v>0</v>
      </c>
      <c r="V7" s="2" t="s">
        <v>139</v>
      </c>
      <c r="W7" s="2" t="s">
        <v>502</v>
      </c>
      <c r="X7" s="2" t="s">
        <v>482</v>
      </c>
      <c r="Y7" s="2" t="s">
        <v>38</v>
      </c>
      <c r="Z7" s="2">
        <v>1.017</v>
      </c>
      <c r="AA7" s="2">
        <v>0.998</v>
      </c>
      <c r="AB7" s="2">
        <v>1.036</v>
      </c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</row>
    <row r="8" ht="13.85" spans="1:236">
      <c r="A8" s="2">
        <v>342</v>
      </c>
      <c r="B8" s="2">
        <v>2</v>
      </c>
      <c r="C8" s="2"/>
      <c r="D8" s="2">
        <v>2024</v>
      </c>
      <c r="E8" s="2"/>
      <c r="F8" s="2" t="s">
        <v>212</v>
      </c>
      <c r="G8" s="2" t="s">
        <v>245</v>
      </c>
      <c r="H8" s="2" t="s">
        <v>245</v>
      </c>
      <c r="I8" s="2" t="s">
        <v>28</v>
      </c>
      <c r="J8" s="2" t="s">
        <v>29</v>
      </c>
      <c r="K8" s="2" t="s">
        <v>50</v>
      </c>
      <c r="L8" s="2"/>
      <c r="M8" s="2"/>
      <c r="N8" s="2" t="s">
        <v>31</v>
      </c>
      <c r="O8" s="2"/>
      <c r="P8" s="2" t="s">
        <v>500</v>
      </c>
      <c r="Q8" s="2" t="s">
        <v>501</v>
      </c>
      <c r="R8" s="2" t="s">
        <v>33</v>
      </c>
      <c r="S8" s="2"/>
      <c r="T8" s="2">
        <v>1</v>
      </c>
      <c r="U8" s="2">
        <v>1</v>
      </c>
      <c r="V8" s="2" t="s">
        <v>139</v>
      </c>
      <c r="W8" s="2" t="s">
        <v>502</v>
      </c>
      <c r="X8" s="2" t="s">
        <v>482</v>
      </c>
      <c r="Y8" s="2" t="s">
        <v>38</v>
      </c>
      <c r="Z8" s="2">
        <v>0.964</v>
      </c>
      <c r="AA8" s="2">
        <v>0.947</v>
      </c>
      <c r="AB8" s="2">
        <v>0.982</v>
      </c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</row>
    <row r="9" ht="13.85" spans="1:236">
      <c r="A9" s="2">
        <v>342</v>
      </c>
      <c r="B9" s="2">
        <v>3</v>
      </c>
      <c r="C9" s="2"/>
      <c r="D9" s="2">
        <v>2024</v>
      </c>
      <c r="E9" s="2"/>
      <c r="F9" s="2" t="s">
        <v>212</v>
      </c>
      <c r="G9" s="2" t="s">
        <v>245</v>
      </c>
      <c r="H9" s="2" t="s">
        <v>245</v>
      </c>
      <c r="I9" s="2" t="s">
        <v>28</v>
      </c>
      <c r="J9" s="2" t="s">
        <v>29</v>
      </c>
      <c r="K9" s="2" t="s">
        <v>50</v>
      </c>
      <c r="L9" s="2"/>
      <c r="M9" s="2"/>
      <c r="N9" s="2" t="s">
        <v>31</v>
      </c>
      <c r="O9" s="2"/>
      <c r="P9" s="2" t="s">
        <v>500</v>
      </c>
      <c r="Q9" s="2" t="s">
        <v>501</v>
      </c>
      <c r="R9" s="2" t="s">
        <v>33</v>
      </c>
      <c r="S9" s="2"/>
      <c r="T9" s="2">
        <v>2</v>
      </c>
      <c r="U9" s="2">
        <v>2</v>
      </c>
      <c r="V9" s="2" t="s">
        <v>139</v>
      </c>
      <c r="W9" s="2" t="s">
        <v>502</v>
      </c>
      <c r="X9" s="2" t="s">
        <v>482</v>
      </c>
      <c r="Y9" s="2" t="s">
        <v>38</v>
      </c>
      <c r="Z9" s="2">
        <v>1.002</v>
      </c>
      <c r="AA9" s="2">
        <v>0.986</v>
      </c>
      <c r="AB9" s="2">
        <v>1.018</v>
      </c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</row>
    <row r="10" ht="13.85" spans="1:236">
      <c r="A10" s="2">
        <v>342</v>
      </c>
      <c r="B10" s="2">
        <v>4</v>
      </c>
      <c r="C10" s="2"/>
      <c r="D10" s="2">
        <v>2024</v>
      </c>
      <c r="E10" s="2"/>
      <c r="F10" s="2" t="s">
        <v>212</v>
      </c>
      <c r="G10" s="2" t="s">
        <v>245</v>
      </c>
      <c r="H10" s="2" t="s">
        <v>245</v>
      </c>
      <c r="I10" s="2" t="s">
        <v>28</v>
      </c>
      <c r="J10" s="2" t="s">
        <v>29</v>
      </c>
      <c r="K10" s="2" t="s">
        <v>50</v>
      </c>
      <c r="L10" s="2">
        <v>182644</v>
      </c>
      <c r="M10" s="2" t="s">
        <v>101</v>
      </c>
      <c r="N10" s="2" t="s">
        <v>31</v>
      </c>
      <c r="O10" s="2"/>
      <c r="P10" s="2" t="s">
        <v>500</v>
      </c>
      <c r="Q10" s="2" t="s">
        <v>501</v>
      </c>
      <c r="R10" s="2" t="s">
        <v>33</v>
      </c>
      <c r="S10" s="2"/>
      <c r="T10" s="2">
        <v>0</v>
      </c>
      <c r="U10" s="2">
        <v>0</v>
      </c>
      <c r="V10" s="2" t="s">
        <v>139</v>
      </c>
      <c r="W10" s="2" t="s">
        <v>502</v>
      </c>
      <c r="X10" s="2" t="s">
        <v>482</v>
      </c>
      <c r="Y10" s="2" t="s">
        <v>38</v>
      </c>
      <c r="Z10" s="2">
        <v>1.016</v>
      </c>
      <c r="AA10" s="2">
        <v>0.998</v>
      </c>
      <c r="AB10" s="2">
        <v>1.034</v>
      </c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</row>
    <row r="11" ht="13.85" spans="1:236">
      <c r="A11" s="2">
        <v>342</v>
      </c>
      <c r="B11" s="2">
        <v>5</v>
      </c>
      <c r="C11" s="2"/>
      <c r="D11" s="2">
        <v>2024</v>
      </c>
      <c r="E11" s="2"/>
      <c r="F11" s="2" t="s">
        <v>212</v>
      </c>
      <c r="G11" s="2" t="s">
        <v>245</v>
      </c>
      <c r="H11" s="2" t="s">
        <v>245</v>
      </c>
      <c r="I11" s="2" t="s">
        <v>28</v>
      </c>
      <c r="J11" s="2" t="s">
        <v>29</v>
      </c>
      <c r="K11" s="2" t="s">
        <v>50</v>
      </c>
      <c r="L11" s="2"/>
      <c r="M11" s="2"/>
      <c r="N11" s="2" t="s">
        <v>31</v>
      </c>
      <c r="O11" s="2"/>
      <c r="P11" s="2" t="s">
        <v>500</v>
      </c>
      <c r="Q11" s="2" t="s">
        <v>501</v>
      </c>
      <c r="R11" s="2" t="s">
        <v>33</v>
      </c>
      <c r="S11" s="2"/>
      <c r="T11" s="2">
        <v>1</v>
      </c>
      <c r="U11" s="2">
        <v>1</v>
      </c>
      <c r="V11" s="2" t="s">
        <v>139</v>
      </c>
      <c r="W11" s="2" t="s">
        <v>502</v>
      </c>
      <c r="X11" s="2" t="s">
        <v>482</v>
      </c>
      <c r="Y11" s="2" t="s">
        <v>38</v>
      </c>
      <c r="Z11" s="2">
        <v>0.971</v>
      </c>
      <c r="AA11" s="2">
        <v>0.952</v>
      </c>
      <c r="AB11" s="2">
        <v>0.989</v>
      </c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</row>
    <row r="12" ht="13.85" spans="1:236">
      <c r="A12" s="2">
        <v>342</v>
      </c>
      <c r="B12" s="2">
        <v>6</v>
      </c>
      <c r="C12" s="2"/>
      <c r="D12" s="2">
        <v>2024</v>
      </c>
      <c r="E12" s="2"/>
      <c r="F12" s="2" t="s">
        <v>212</v>
      </c>
      <c r="G12" s="2" t="s">
        <v>245</v>
      </c>
      <c r="H12" s="2" t="s">
        <v>245</v>
      </c>
      <c r="I12" s="2" t="s">
        <v>28</v>
      </c>
      <c r="J12" s="2" t="s">
        <v>29</v>
      </c>
      <c r="K12" s="2" t="s">
        <v>50</v>
      </c>
      <c r="L12" s="2"/>
      <c r="M12" s="2"/>
      <c r="N12" s="2" t="s">
        <v>31</v>
      </c>
      <c r="O12" s="2"/>
      <c r="P12" s="2" t="s">
        <v>500</v>
      </c>
      <c r="Q12" s="2" t="s">
        <v>501</v>
      </c>
      <c r="R12" s="2" t="s">
        <v>33</v>
      </c>
      <c r="S12" s="2"/>
      <c r="T12" s="2">
        <v>2</v>
      </c>
      <c r="U12" s="2">
        <v>2</v>
      </c>
      <c r="V12" s="2" t="s">
        <v>139</v>
      </c>
      <c r="W12" s="2" t="s">
        <v>502</v>
      </c>
      <c r="X12" s="2" t="s">
        <v>482</v>
      </c>
      <c r="Y12" s="2" t="s">
        <v>38</v>
      </c>
      <c r="Z12" s="2">
        <v>1</v>
      </c>
      <c r="AA12" s="2">
        <v>0.985</v>
      </c>
      <c r="AB12" s="2">
        <v>1.015</v>
      </c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</row>
    <row r="13" ht="13.85" spans="1:236">
      <c r="A13" s="2">
        <v>342</v>
      </c>
      <c r="B13" s="2">
        <v>7</v>
      </c>
      <c r="C13" s="2"/>
      <c r="D13" s="2">
        <v>2024</v>
      </c>
      <c r="E13" s="2"/>
      <c r="F13" s="2" t="s">
        <v>212</v>
      </c>
      <c r="G13" s="2" t="s">
        <v>245</v>
      </c>
      <c r="H13" s="2" t="s">
        <v>245</v>
      </c>
      <c r="I13" s="2" t="s">
        <v>28</v>
      </c>
      <c r="J13" s="2" t="s">
        <v>29</v>
      </c>
      <c r="K13" s="2" t="s">
        <v>50</v>
      </c>
      <c r="L13" s="2">
        <v>395780</v>
      </c>
      <c r="M13" s="2" t="s">
        <v>101</v>
      </c>
      <c r="N13" s="2" t="s">
        <v>31</v>
      </c>
      <c r="O13" s="2"/>
      <c r="P13" s="2" t="s">
        <v>500</v>
      </c>
      <c r="Q13" s="2" t="s">
        <v>501</v>
      </c>
      <c r="R13" s="2" t="s">
        <v>33</v>
      </c>
      <c r="S13" s="2"/>
      <c r="T13" s="2">
        <v>0</v>
      </c>
      <c r="U13" s="2">
        <v>0</v>
      </c>
      <c r="V13" s="2" t="s">
        <v>139</v>
      </c>
      <c r="W13" s="2" t="s">
        <v>502</v>
      </c>
      <c r="X13" s="2" t="s">
        <v>482</v>
      </c>
      <c r="Y13" s="2" t="s">
        <v>38</v>
      </c>
      <c r="Z13" s="2">
        <v>1.024</v>
      </c>
      <c r="AA13" s="2">
        <v>1.011</v>
      </c>
      <c r="AB13" s="2">
        <v>1.037</v>
      </c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</row>
    <row r="14" ht="13.85" spans="1:236">
      <c r="A14" s="2">
        <v>342</v>
      </c>
      <c r="B14" s="2">
        <v>8</v>
      </c>
      <c r="C14" s="2"/>
      <c r="D14" s="2">
        <v>2024</v>
      </c>
      <c r="E14" s="2"/>
      <c r="F14" s="2" t="s">
        <v>212</v>
      </c>
      <c r="G14" s="2" t="s">
        <v>245</v>
      </c>
      <c r="H14" s="2" t="s">
        <v>245</v>
      </c>
      <c r="I14" s="2" t="s">
        <v>28</v>
      </c>
      <c r="J14" s="2" t="s">
        <v>29</v>
      </c>
      <c r="K14" s="2" t="s">
        <v>50</v>
      </c>
      <c r="L14" s="2"/>
      <c r="M14" s="2"/>
      <c r="N14" s="2" t="s">
        <v>31</v>
      </c>
      <c r="O14" s="2"/>
      <c r="P14" s="2" t="s">
        <v>500</v>
      </c>
      <c r="Q14" s="2" t="s">
        <v>501</v>
      </c>
      <c r="R14" s="2" t="s">
        <v>33</v>
      </c>
      <c r="S14" s="2"/>
      <c r="T14" s="2">
        <v>1</v>
      </c>
      <c r="U14" s="2">
        <v>1</v>
      </c>
      <c r="V14" s="2" t="s">
        <v>139</v>
      </c>
      <c r="W14" s="2" t="s">
        <v>502</v>
      </c>
      <c r="X14" s="2" t="s">
        <v>482</v>
      </c>
      <c r="Y14" s="2" t="s">
        <v>38</v>
      </c>
      <c r="Z14" s="2">
        <v>0.96</v>
      </c>
      <c r="AA14" s="2">
        <v>0.947</v>
      </c>
      <c r="AB14" s="2">
        <v>0.974</v>
      </c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</row>
    <row r="15" ht="13.85" spans="1:236">
      <c r="A15" s="2">
        <v>342</v>
      </c>
      <c r="B15" s="2">
        <v>9</v>
      </c>
      <c r="C15" s="2"/>
      <c r="D15" s="2">
        <v>2024</v>
      </c>
      <c r="E15" s="2"/>
      <c r="F15" s="2" t="s">
        <v>212</v>
      </c>
      <c r="G15" s="2" t="s">
        <v>245</v>
      </c>
      <c r="H15" s="2" t="s">
        <v>245</v>
      </c>
      <c r="I15" s="2" t="s">
        <v>28</v>
      </c>
      <c r="J15" s="2" t="s">
        <v>29</v>
      </c>
      <c r="K15" s="2" t="s">
        <v>50</v>
      </c>
      <c r="L15" s="2"/>
      <c r="M15" s="2"/>
      <c r="N15" s="2" t="s">
        <v>31</v>
      </c>
      <c r="O15" s="2"/>
      <c r="P15" s="2" t="s">
        <v>500</v>
      </c>
      <c r="Q15" s="2" t="s">
        <v>501</v>
      </c>
      <c r="R15" s="2" t="s">
        <v>33</v>
      </c>
      <c r="S15" s="2"/>
      <c r="T15" s="2">
        <v>2</v>
      </c>
      <c r="U15" s="2">
        <v>2</v>
      </c>
      <c r="V15" s="2" t="s">
        <v>139</v>
      </c>
      <c r="W15" s="2" t="s">
        <v>502</v>
      </c>
      <c r="X15" s="2" t="s">
        <v>482</v>
      </c>
      <c r="Y15" s="2" t="s">
        <v>38</v>
      </c>
      <c r="Z15" s="2">
        <v>1.008</v>
      </c>
      <c r="AA15" s="2">
        <v>0.997</v>
      </c>
      <c r="AB15" s="2">
        <v>1.019</v>
      </c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</row>
    <row r="16" ht="13.85" spans="1:236">
      <c r="A16" s="2">
        <v>342</v>
      </c>
      <c r="B16" s="2">
        <v>10</v>
      </c>
      <c r="C16" s="2"/>
      <c r="D16" s="2">
        <v>2024</v>
      </c>
      <c r="E16" s="2"/>
      <c r="F16" s="2" t="s">
        <v>365</v>
      </c>
      <c r="G16" s="2" t="s">
        <v>245</v>
      </c>
      <c r="H16" s="2" t="s">
        <v>245</v>
      </c>
      <c r="I16" s="2" t="s">
        <v>28</v>
      </c>
      <c r="J16" s="2" t="s">
        <v>29</v>
      </c>
      <c r="K16" s="2" t="s">
        <v>50</v>
      </c>
      <c r="L16" s="2">
        <v>555632</v>
      </c>
      <c r="M16" s="2" t="s">
        <v>101</v>
      </c>
      <c r="N16" s="2" t="s">
        <v>31</v>
      </c>
      <c r="O16" s="2"/>
      <c r="P16" s="2" t="s">
        <v>500</v>
      </c>
      <c r="Q16" s="2" t="s">
        <v>501</v>
      </c>
      <c r="R16" s="2" t="s">
        <v>33</v>
      </c>
      <c r="S16" s="2"/>
      <c r="T16" s="2">
        <v>0</v>
      </c>
      <c r="U16" s="2">
        <v>0</v>
      </c>
      <c r="V16" s="2" t="s">
        <v>139</v>
      </c>
      <c r="W16" s="2" t="s">
        <v>502</v>
      </c>
      <c r="X16" s="2" t="s">
        <v>482</v>
      </c>
      <c r="Y16" s="2" t="s">
        <v>38</v>
      </c>
      <c r="Z16" s="2">
        <v>1.022</v>
      </c>
      <c r="AA16" s="2">
        <v>1.009</v>
      </c>
      <c r="AB16" s="2">
        <v>1.036</v>
      </c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</row>
    <row r="17" ht="13.85" spans="1:236">
      <c r="A17" s="2">
        <v>342</v>
      </c>
      <c r="B17" s="2">
        <v>11</v>
      </c>
      <c r="C17" s="2"/>
      <c r="D17" s="2">
        <v>2024</v>
      </c>
      <c r="E17" s="2"/>
      <c r="F17" s="2" t="s">
        <v>365</v>
      </c>
      <c r="G17" s="2" t="s">
        <v>245</v>
      </c>
      <c r="H17" s="2" t="s">
        <v>245</v>
      </c>
      <c r="I17" s="2" t="s">
        <v>28</v>
      </c>
      <c r="J17" s="2" t="s">
        <v>29</v>
      </c>
      <c r="K17" s="2" t="s">
        <v>50</v>
      </c>
      <c r="L17" s="2"/>
      <c r="M17" s="2"/>
      <c r="N17" s="2" t="s">
        <v>31</v>
      </c>
      <c r="O17" s="2"/>
      <c r="P17" s="2" t="s">
        <v>500</v>
      </c>
      <c r="Q17" s="2" t="s">
        <v>501</v>
      </c>
      <c r="R17" s="2" t="s">
        <v>33</v>
      </c>
      <c r="S17" s="2"/>
      <c r="T17" s="2">
        <v>1</v>
      </c>
      <c r="U17" s="2">
        <v>1</v>
      </c>
      <c r="V17" s="2" t="s">
        <v>139</v>
      </c>
      <c r="W17" s="2" t="s">
        <v>502</v>
      </c>
      <c r="X17" s="2" t="s">
        <v>482</v>
      </c>
      <c r="Y17" s="2" t="s">
        <v>38</v>
      </c>
      <c r="Z17" s="2">
        <v>0.964</v>
      </c>
      <c r="AA17" s="2">
        <v>0.952</v>
      </c>
      <c r="AB17" s="2">
        <v>0.978</v>
      </c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</row>
    <row r="18" ht="13.85" spans="1:236">
      <c r="A18" s="2">
        <v>342</v>
      </c>
      <c r="B18" s="2">
        <v>12</v>
      </c>
      <c r="C18" s="2"/>
      <c r="D18" s="2">
        <v>2024</v>
      </c>
      <c r="E18" s="2"/>
      <c r="F18" s="2" t="s">
        <v>365</v>
      </c>
      <c r="G18" s="2" t="s">
        <v>245</v>
      </c>
      <c r="H18" s="2" t="s">
        <v>245</v>
      </c>
      <c r="I18" s="2" t="s">
        <v>28</v>
      </c>
      <c r="J18" s="2" t="s">
        <v>29</v>
      </c>
      <c r="K18" s="2" t="s">
        <v>50</v>
      </c>
      <c r="L18" s="2"/>
      <c r="M18" s="2"/>
      <c r="N18" s="2" t="s">
        <v>31</v>
      </c>
      <c r="O18" s="2"/>
      <c r="P18" s="2" t="s">
        <v>500</v>
      </c>
      <c r="Q18" s="2" t="s">
        <v>501</v>
      </c>
      <c r="R18" s="2" t="s">
        <v>33</v>
      </c>
      <c r="S18" s="2"/>
      <c r="T18" s="2">
        <v>2</v>
      </c>
      <c r="U18" s="2">
        <v>2</v>
      </c>
      <c r="V18" s="2" t="s">
        <v>139</v>
      </c>
      <c r="W18" s="2" t="s">
        <v>502</v>
      </c>
      <c r="X18" s="2" t="s">
        <v>482</v>
      </c>
      <c r="Y18" s="2" t="s">
        <v>38</v>
      </c>
      <c r="Z18" s="2">
        <v>0.999</v>
      </c>
      <c r="AA18" s="2">
        <v>0.987</v>
      </c>
      <c r="AB18" s="2">
        <v>1.01</v>
      </c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</row>
    <row r="19" ht="13.85" spans="1:236">
      <c r="A19" s="2">
        <v>342</v>
      </c>
      <c r="B19" s="2">
        <v>13</v>
      </c>
      <c r="C19" s="2"/>
      <c r="D19" s="2">
        <v>2024</v>
      </c>
      <c r="E19" s="2"/>
      <c r="F19" s="2" t="s">
        <v>365</v>
      </c>
      <c r="G19" s="2" t="s">
        <v>245</v>
      </c>
      <c r="H19" s="2" t="s">
        <v>245</v>
      </c>
      <c r="I19" s="2" t="s">
        <v>28</v>
      </c>
      <c r="J19" s="2" t="s">
        <v>29</v>
      </c>
      <c r="K19" s="2" t="s">
        <v>50</v>
      </c>
      <c r="L19" s="2">
        <v>329868</v>
      </c>
      <c r="M19" s="2" t="s">
        <v>101</v>
      </c>
      <c r="N19" s="2" t="s">
        <v>31</v>
      </c>
      <c r="O19" s="2"/>
      <c r="P19" s="2" t="s">
        <v>500</v>
      </c>
      <c r="Q19" s="2" t="s">
        <v>501</v>
      </c>
      <c r="R19" s="2" t="s">
        <v>33</v>
      </c>
      <c r="S19" s="2"/>
      <c r="T19" s="2">
        <v>0</v>
      </c>
      <c r="U19" s="2">
        <v>0</v>
      </c>
      <c r="V19" s="2" t="s">
        <v>139</v>
      </c>
      <c r="W19" s="2" t="s">
        <v>502</v>
      </c>
      <c r="X19" s="2" t="s">
        <v>482</v>
      </c>
      <c r="Y19" s="2" t="s">
        <v>38</v>
      </c>
      <c r="Z19" s="2">
        <v>1.036</v>
      </c>
      <c r="AA19" s="2">
        <v>1.018</v>
      </c>
      <c r="AB19" s="2">
        <v>1.053</v>
      </c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</row>
    <row r="20" ht="13.85" spans="1:236">
      <c r="A20" s="2">
        <v>342</v>
      </c>
      <c r="B20" s="2">
        <v>14</v>
      </c>
      <c r="C20" s="2"/>
      <c r="D20" s="2">
        <v>2024</v>
      </c>
      <c r="E20" s="2"/>
      <c r="F20" s="2" t="s">
        <v>365</v>
      </c>
      <c r="G20" s="2" t="s">
        <v>245</v>
      </c>
      <c r="H20" s="2" t="s">
        <v>245</v>
      </c>
      <c r="I20" s="2" t="s">
        <v>28</v>
      </c>
      <c r="J20" s="2" t="s">
        <v>29</v>
      </c>
      <c r="K20" s="2" t="s">
        <v>50</v>
      </c>
      <c r="L20" s="2"/>
      <c r="M20" s="2"/>
      <c r="N20" s="2" t="s">
        <v>31</v>
      </c>
      <c r="O20" s="2"/>
      <c r="P20" s="2" t="s">
        <v>500</v>
      </c>
      <c r="Q20" s="2" t="s">
        <v>501</v>
      </c>
      <c r="R20" s="2" t="s">
        <v>33</v>
      </c>
      <c r="S20" s="2"/>
      <c r="T20" s="2">
        <v>1</v>
      </c>
      <c r="U20" s="2">
        <v>1</v>
      </c>
      <c r="V20" s="2" t="s">
        <v>139</v>
      </c>
      <c r="W20" s="2" t="s">
        <v>502</v>
      </c>
      <c r="X20" s="2" t="s">
        <v>482</v>
      </c>
      <c r="Y20" s="2" t="s">
        <v>38</v>
      </c>
      <c r="Z20" s="2">
        <v>0.954</v>
      </c>
      <c r="AA20" s="2">
        <v>0.937</v>
      </c>
      <c r="AB20" s="2">
        <v>0.97</v>
      </c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</row>
    <row r="21" ht="13.85" spans="1:236">
      <c r="A21" s="2">
        <v>342</v>
      </c>
      <c r="B21" s="2">
        <v>15</v>
      </c>
      <c r="C21" s="2"/>
      <c r="D21" s="2">
        <v>2024</v>
      </c>
      <c r="E21" s="2"/>
      <c r="F21" s="2" t="s">
        <v>365</v>
      </c>
      <c r="G21" s="2" t="s">
        <v>245</v>
      </c>
      <c r="H21" s="2" t="s">
        <v>245</v>
      </c>
      <c r="I21" s="2" t="s">
        <v>28</v>
      </c>
      <c r="J21" s="2" t="s">
        <v>29</v>
      </c>
      <c r="K21" s="2" t="s">
        <v>50</v>
      </c>
      <c r="L21" s="2"/>
      <c r="M21" s="2"/>
      <c r="N21" s="2" t="s">
        <v>31</v>
      </c>
      <c r="O21" s="2"/>
      <c r="P21" s="2" t="s">
        <v>500</v>
      </c>
      <c r="Q21" s="2" t="s">
        <v>501</v>
      </c>
      <c r="R21" s="2" t="s">
        <v>33</v>
      </c>
      <c r="S21" s="2"/>
      <c r="T21" s="2">
        <v>2</v>
      </c>
      <c r="U21" s="2">
        <v>2</v>
      </c>
      <c r="V21" s="2" t="s">
        <v>139</v>
      </c>
      <c r="W21" s="2" t="s">
        <v>502</v>
      </c>
      <c r="X21" s="2" t="s">
        <v>482</v>
      </c>
      <c r="Y21" s="2" t="s">
        <v>38</v>
      </c>
      <c r="Z21" s="2">
        <v>0.997</v>
      </c>
      <c r="AA21" s="2">
        <v>0.983</v>
      </c>
      <c r="AB21" s="2">
        <v>1.012</v>
      </c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</row>
    <row r="22" ht="13.85" spans="1:236">
      <c r="A22" s="2">
        <v>342</v>
      </c>
      <c r="B22" s="2">
        <v>16</v>
      </c>
      <c r="C22" s="2"/>
      <c r="D22" s="2">
        <v>2024</v>
      </c>
      <c r="E22" s="2"/>
      <c r="F22" s="2" t="s">
        <v>365</v>
      </c>
      <c r="G22" s="2" t="s">
        <v>245</v>
      </c>
      <c r="H22" s="2" t="s">
        <v>245</v>
      </c>
      <c r="I22" s="2" t="s">
        <v>28</v>
      </c>
      <c r="J22" s="2" t="s">
        <v>29</v>
      </c>
      <c r="K22" s="2" t="s">
        <v>50</v>
      </c>
      <c r="L22" s="2">
        <v>777854</v>
      </c>
      <c r="M22" s="2" t="s">
        <v>101</v>
      </c>
      <c r="N22" s="2" t="s">
        <v>31</v>
      </c>
      <c r="O22" s="2"/>
      <c r="P22" s="2" t="s">
        <v>500</v>
      </c>
      <c r="Q22" s="2" t="s">
        <v>501</v>
      </c>
      <c r="R22" s="2" t="s">
        <v>33</v>
      </c>
      <c r="S22" s="2"/>
      <c r="T22" s="2">
        <v>0</v>
      </c>
      <c r="U22" s="2">
        <v>0</v>
      </c>
      <c r="V22" s="2" t="s">
        <v>139</v>
      </c>
      <c r="W22" s="2" t="s">
        <v>502</v>
      </c>
      <c r="X22" s="2" t="s">
        <v>482</v>
      </c>
      <c r="Y22" s="2" t="s">
        <v>38</v>
      </c>
      <c r="Z22" s="2">
        <v>1.03</v>
      </c>
      <c r="AA22" s="2">
        <v>1.028</v>
      </c>
      <c r="AB22" s="2">
        <v>1.047</v>
      </c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</row>
    <row r="23" ht="13.85" spans="1:236">
      <c r="A23" s="2">
        <v>342</v>
      </c>
      <c r="B23" s="2">
        <v>17</v>
      </c>
      <c r="C23" s="2"/>
      <c r="D23" s="2">
        <v>2024</v>
      </c>
      <c r="E23" s="2"/>
      <c r="F23" s="2" t="s">
        <v>365</v>
      </c>
      <c r="G23" s="2" t="s">
        <v>245</v>
      </c>
      <c r="H23" s="2" t="s">
        <v>245</v>
      </c>
      <c r="I23" s="2" t="s">
        <v>28</v>
      </c>
      <c r="J23" s="2" t="s">
        <v>29</v>
      </c>
      <c r="K23" s="2" t="s">
        <v>50</v>
      </c>
      <c r="L23" s="2"/>
      <c r="M23" s="2"/>
      <c r="N23" s="2" t="s">
        <v>31</v>
      </c>
      <c r="O23" s="2"/>
      <c r="P23" s="2" t="s">
        <v>500</v>
      </c>
      <c r="Q23" s="2" t="s">
        <v>501</v>
      </c>
      <c r="R23" s="2" t="s">
        <v>33</v>
      </c>
      <c r="S23" s="2"/>
      <c r="T23" s="2">
        <v>1</v>
      </c>
      <c r="U23" s="2">
        <v>1</v>
      </c>
      <c r="V23" s="2" t="s">
        <v>139</v>
      </c>
      <c r="W23" s="2" t="s">
        <v>502</v>
      </c>
      <c r="X23" s="2" t="s">
        <v>482</v>
      </c>
      <c r="Y23" s="2" t="s">
        <v>38</v>
      </c>
      <c r="Z23" s="2">
        <v>0.965</v>
      </c>
      <c r="AA23" s="2">
        <v>0.955</v>
      </c>
      <c r="AB23" s="2">
        <v>0.975</v>
      </c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</row>
    <row r="24" ht="13.85" spans="1:236">
      <c r="A24" s="2">
        <v>342</v>
      </c>
      <c r="B24" s="2">
        <v>18</v>
      </c>
      <c r="C24" s="2"/>
      <c r="D24" s="2">
        <v>2024</v>
      </c>
      <c r="E24" s="2"/>
      <c r="F24" s="2" t="s">
        <v>365</v>
      </c>
      <c r="G24" s="2" t="s">
        <v>245</v>
      </c>
      <c r="H24" s="2" t="s">
        <v>245</v>
      </c>
      <c r="I24" s="2" t="s">
        <v>28</v>
      </c>
      <c r="J24" s="2" t="s">
        <v>29</v>
      </c>
      <c r="K24" s="2" t="s">
        <v>50</v>
      </c>
      <c r="L24" s="2"/>
      <c r="M24" s="2"/>
      <c r="N24" s="2" t="s">
        <v>31</v>
      </c>
      <c r="O24" s="2"/>
      <c r="P24" s="2" t="s">
        <v>500</v>
      </c>
      <c r="Q24" s="2" t="s">
        <v>501</v>
      </c>
      <c r="R24" s="2" t="s">
        <v>33</v>
      </c>
      <c r="S24" s="2"/>
      <c r="T24" s="2">
        <v>2</v>
      </c>
      <c r="U24" s="2">
        <v>2</v>
      </c>
      <c r="V24" s="2" t="s">
        <v>139</v>
      </c>
      <c r="W24" s="2" t="s">
        <v>502</v>
      </c>
      <c r="X24" s="2" t="s">
        <v>482</v>
      </c>
      <c r="Y24" s="2" t="s">
        <v>38</v>
      </c>
      <c r="Z24" s="2">
        <v>1.002</v>
      </c>
      <c r="AA24" s="2">
        <v>0.994</v>
      </c>
      <c r="AB24" s="2">
        <v>1.01</v>
      </c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</row>
    <row r="25" ht="13.85" spans="1:236">
      <c r="A25" s="2">
        <v>536</v>
      </c>
      <c r="B25" s="2">
        <v>1</v>
      </c>
      <c r="C25" s="2"/>
      <c r="D25" s="2">
        <v>2019</v>
      </c>
      <c r="E25" s="2"/>
      <c r="F25" s="2" t="s">
        <v>26</v>
      </c>
      <c r="G25" s="2" t="s">
        <v>39</v>
      </c>
      <c r="H25" s="2" t="s">
        <v>39</v>
      </c>
      <c r="I25" s="2" t="s">
        <v>28</v>
      </c>
      <c r="J25" s="2" t="s">
        <v>40</v>
      </c>
      <c r="K25" s="2" t="s">
        <v>30</v>
      </c>
      <c r="L25" s="2"/>
      <c r="M25" s="2"/>
      <c r="N25" s="2"/>
      <c r="O25" s="2"/>
      <c r="P25" s="2"/>
      <c r="Q25" s="2"/>
      <c r="R25" s="2" t="s">
        <v>33</v>
      </c>
      <c r="S25" s="2"/>
      <c r="T25" s="2" t="s">
        <v>34</v>
      </c>
      <c r="U25" s="2">
        <v>13.5</v>
      </c>
      <c r="V25" s="2" t="s">
        <v>35</v>
      </c>
      <c r="W25" s="2" t="s">
        <v>503</v>
      </c>
      <c r="X25" s="2" t="s">
        <v>482</v>
      </c>
      <c r="Y25" s="2" t="s">
        <v>338</v>
      </c>
      <c r="Z25" s="2">
        <v>1.36</v>
      </c>
      <c r="AA25" s="2">
        <v>0.96</v>
      </c>
      <c r="AB25" s="2">
        <v>1.92</v>
      </c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</row>
    <row r="26" ht="13.85" spans="1:236">
      <c r="A26" s="2">
        <v>658</v>
      </c>
      <c r="B26" s="2">
        <v>1</v>
      </c>
      <c r="C26" s="2" t="s">
        <v>504</v>
      </c>
      <c r="D26" s="2">
        <v>2024</v>
      </c>
      <c r="E26" s="2" t="s">
        <v>505</v>
      </c>
      <c r="F26" s="2" t="s">
        <v>26</v>
      </c>
      <c r="G26" s="2" t="s">
        <v>99</v>
      </c>
      <c r="H26" s="2" t="s">
        <v>100</v>
      </c>
      <c r="I26" s="2" t="s">
        <v>28</v>
      </c>
      <c r="J26" s="2" t="s">
        <v>40</v>
      </c>
      <c r="K26" s="2" t="s">
        <v>50</v>
      </c>
      <c r="L26" s="2"/>
      <c r="M26" s="2"/>
      <c r="N26" s="2" t="s">
        <v>41</v>
      </c>
      <c r="O26" s="2"/>
      <c r="P26" s="2" t="s">
        <v>506</v>
      </c>
      <c r="Q26" s="2" t="s">
        <v>507</v>
      </c>
      <c r="R26" s="2" t="s">
        <v>33</v>
      </c>
      <c r="S26" s="2"/>
      <c r="T26" s="2" t="s">
        <v>508</v>
      </c>
      <c r="U26" s="2">
        <v>2.5</v>
      </c>
      <c r="V26" s="2" t="s">
        <v>35</v>
      </c>
      <c r="W26" s="2" t="s">
        <v>509</v>
      </c>
      <c r="X26" s="2" t="s">
        <v>482</v>
      </c>
      <c r="Y26" s="2" t="s">
        <v>146</v>
      </c>
      <c r="Z26" s="2">
        <v>1.13</v>
      </c>
      <c r="AA26" s="2">
        <v>0.83</v>
      </c>
      <c r="AB26" s="2">
        <v>1.55</v>
      </c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</row>
    <row r="27" ht="13.85" spans="1:236">
      <c r="A27" s="2">
        <v>658</v>
      </c>
      <c r="B27" s="2">
        <v>2</v>
      </c>
      <c r="C27" s="2"/>
      <c r="D27" s="2">
        <v>2024</v>
      </c>
      <c r="E27" s="2"/>
      <c r="F27" s="2" t="s">
        <v>26</v>
      </c>
      <c r="G27" s="2" t="s">
        <v>99</v>
      </c>
      <c r="H27" s="2" t="s">
        <v>100</v>
      </c>
      <c r="I27" s="2" t="s">
        <v>28</v>
      </c>
      <c r="J27" s="2" t="s">
        <v>40</v>
      </c>
      <c r="K27" s="2" t="s">
        <v>50</v>
      </c>
      <c r="L27" s="2"/>
      <c r="M27" s="2"/>
      <c r="N27" s="2" t="s">
        <v>41</v>
      </c>
      <c r="O27" s="2"/>
      <c r="P27" s="2"/>
      <c r="Q27" s="2"/>
      <c r="R27" s="2" t="s">
        <v>33</v>
      </c>
      <c r="S27" s="2"/>
      <c r="T27" s="2" t="s">
        <v>508</v>
      </c>
      <c r="U27" s="2">
        <v>2.5</v>
      </c>
      <c r="V27" s="2" t="s">
        <v>35</v>
      </c>
      <c r="W27" s="2" t="s">
        <v>510</v>
      </c>
      <c r="X27" s="2" t="s">
        <v>482</v>
      </c>
      <c r="Y27" s="2" t="s">
        <v>146</v>
      </c>
      <c r="Z27" s="2">
        <v>1.34</v>
      </c>
      <c r="AA27" s="2">
        <v>1.11</v>
      </c>
      <c r="AB27" s="2">
        <v>1.61</v>
      </c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</row>
    <row r="28" ht="13.85" spans="1:236">
      <c r="A28" s="2">
        <v>659</v>
      </c>
      <c r="B28" s="2">
        <v>1</v>
      </c>
      <c r="C28" s="2" t="s">
        <v>511</v>
      </c>
      <c r="D28" s="2">
        <v>2024</v>
      </c>
      <c r="E28" s="2" t="s">
        <v>512</v>
      </c>
      <c r="F28" s="2" t="s">
        <v>26</v>
      </c>
      <c r="G28" s="2" t="s">
        <v>99</v>
      </c>
      <c r="H28" s="2" t="s">
        <v>100</v>
      </c>
      <c r="I28" s="2" t="s">
        <v>28</v>
      </c>
      <c r="J28" s="2" t="s">
        <v>40</v>
      </c>
      <c r="K28" s="2" t="s">
        <v>50</v>
      </c>
      <c r="L28" s="2" t="s">
        <v>513</v>
      </c>
      <c r="M28" s="2"/>
      <c r="N28" s="2" t="s">
        <v>41</v>
      </c>
      <c r="O28" s="2"/>
      <c r="P28" s="2" t="s">
        <v>506</v>
      </c>
      <c r="Q28" s="2" t="s">
        <v>507</v>
      </c>
      <c r="R28" s="2" t="s">
        <v>33</v>
      </c>
      <c r="S28" s="2"/>
      <c r="T28" s="2" t="s">
        <v>296</v>
      </c>
      <c r="U28" s="2">
        <v>0.5</v>
      </c>
      <c r="V28" s="2" t="s">
        <v>35</v>
      </c>
      <c r="W28" s="2" t="s">
        <v>514</v>
      </c>
      <c r="X28" s="2" t="s">
        <v>482</v>
      </c>
      <c r="Y28" s="2" t="s">
        <v>146</v>
      </c>
      <c r="Z28" s="2">
        <v>1.19</v>
      </c>
      <c r="AA28" s="2">
        <v>1.09</v>
      </c>
      <c r="AB28" s="2">
        <v>1.31</v>
      </c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</row>
    <row r="29" ht="13.85" spans="1:236">
      <c r="A29" s="2">
        <v>659</v>
      </c>
      <c r="B29" s="2">
        <v>2</v>
      </c>
      <c r="C29" s="2"/>
      <c r="D29" s="2"/>
      <c r="E29" s="2"/>
      <c r="F29" s="2" t="s">
        <v>26</v>
      </c>
      <c r="G29" s="2" t="s">
        <v>99</v>
      </c>
      <c r="H29" s="2" t="s">
        <v>100</v>
      </c>
      <c r="I29" s="2" t="s">
        <v>28</v>
      </c>
      <c r="J29" s="2" t="s">
        <v>40</v>
      </c>
      <c r="K29" s="2" t="s">
        <v>50</v>
      </c>
      <c r="L29" s="2" t="s">
        <v>515</v>
      </c>
      <c r="M29" s="2"/>
      <c r="N29" s="2" t="s">
        <v>41</v>
      </c>
      <c r="O29" s="2"/>
      <c r="P29" s="2"/>
      <c r="Q29" s="2"/>
      <c r="R29" s="2" t="s">
        <v>33</v>
      </c>
      <c r="S29" s="2"/>
      <c r="T29" s="2" t="s">
        <v>296</v>
      </c>
      <c r="U29" s="2">
        <v>0.5</v>
      </c>
      <c r="V29" s="2" t="s">
        <v>35</v>
      </c>
      <c r="W29" s="2" t="s">
        <v>516</v>
      </c>
      <c r="X29" s="2" t="s">
        <v>482</v>
      </c>
      <c r="Y29" s="2" t="s">
        <v>146</v>
      </c>
      <c r="Z29" s="2">
        <v>1.08</v>
      </c>
      <c r="AA29" s="2">
        <v>1.03</v>
      </c>
      <c r="AB29" s="2">
        <v>1.13</v>
      </c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</row>
    <row r="30" ht="13.85" spans="1:236">
      <c r="A30" s="2">
        <v>686</v>
      </c>
      <c r="B30" s="2">
        <v>1</v>
      </c>
      <c r="C30" s="2"/>
      <c r="D30" s="2">
        <v>2019</v>
      </c>
      <c r="E30" s="2"/>
      <c r="F30" s="2" t="s">
        <v>26</v>
      </c>
      <c r="G30" s="2" t="s">
        <v>517</v>
      </c>
      <c r="H30" s="2" t="s">
        <v>517</v>
      </c>
      <c r="I30" s="2" t="s">
        <v>28</v>
      </c>
      <c r="J30" s="2" t="s">
        <v>29</v>
      </c>
      <c r="K30" s="2" t="s">
        <v>30</v>
      </c>
      <c r="L30" s="2"/>
      <c r="M30" s="2"/>
      <c r="N30" s="2" t="s">
        <v>31</v>
      </c>
      <c r="O30" s="2"/>
      <c r="P30" s="2"/>
      <c r="Q30" s="2" t="s">
        <v>518</v>
      </c>
      <c r="R30" s="2" t="s">
        <v>33</v>
      </c>
      <c r="S30" s="2"/>
      <c r="T30" s="2" t="s">
        <v>53</v>
      </c>
      <c r="U30" s="2">
        <v>10</v>
      </c>
      <c r="V30" s="2" t="s">
        <v>35</v>
      </c>
      <c r="W30" s="2" t="s">
        <v>519</v>
      </c>
      <c r="X30" s="2" t="s">
        <v>482</v>
      </c>
      <c r="Y30" s="2" t="s">
        <v>38</v>
      </c>
      <c r="Z30" s="2">
        <v>0.99</v>
      </c>
      <c r="AA30" s="2">
        <v>0.93</v>
      </c>
      <c r="AB30" s="2">
        <v>1.04</v>
      </c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</row>
    <row r="31" ht="13.85" spans="1:236">
      <c r="A31" s="2">
        <v>699</v>
      </c>
      <c r="B31" s="2">
        <v>1</v>
      </c>
      <c r="C31" s="2"/>
      <c r="D31" s="2">
        <v>2016</v>
      </c>
      <c r="E31" s="2"/>
      <c r="F31" s="2" t="s">
        <v>26</v>
      </c>
      <c r="G31" s="2" t="s">
        <v>245</v>
      </c>
      <c r="H31" s="2" t="s">
        <v>245</v>
      </c>
      <c r="I31" s="2" t="s">
        <v>28</v>
      </c>
      <c r="J31" s="2" t="s">
        <v>29</v>
      </c>
      <c r="K31" s="2" t="s">
        <v>50</v>
      </c>
      <c r="L31" s="2"/>
      <c r="M31" s="2"/>
      <c r="N31" s="2"/>
      <c r="O31" s="2"/>
      <c r="P31" s="2"/>
      <c r="Q31" s="2"/>
      <c r="R31" s="2" t="s">
        <v>33</v>
      </c>
      <c r="S31" s="2"/>
      <c r="T31" s="12" t="s">
        <v>520</v>
      </c>
      <c r="U31" s="2">
        <v>10.5</v>
      </c>
      <c r="V31" s="2" t="s">
        <v>35</v>
      </c>
      <c r="W31" s="2" t="s">
        <v>521</v>
      </c>
      <c r="X31" s="2" t="s">
        <v>482</v>
      </c>
      <c r="Y31" s="2" t="s">
        <v>38</v>
      </c>
      <c r="Z31" s="2">
        <v>1.13</v>
      </c>
      <c r="AA31" s="2">
        <v>1.03</v>
      </c>
      <c r="AB31" s="2">
        <v>1.23</v>
      </c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</row>
    <row r="32" ht="13.85" spans="1:236">
      <c r="A32" s="2">
        <v>825</v>
      </c>
      <c r="B32" s="2">
        <v>1</v>
      </c>
      <c r="C32" s="2" t="s">
        <v>522</v>
      </c>
      <c r="D32" s="2">
        <v>2021</v>
      </c>
      <c r="E32" s="2" t="s">
        <v>523</v>
      </c>
      <c r="F32" s="2" t="s">
        <v>212</v>
      </c>
      <c r="G32" s="2" t="s">
        <v>47</v>
      </c>
      <c r="H32" s="2" t="s">
        <v>47</v>
      </c>
      <c r="I32" s="2" t="s">
        <v>48</v>
      </c>
      <c r="J32" s="2" t="s">
        <v>49</v>
      </c>
      <c r="K32" s="2" t="s">
        <v>50</v>
      </c>
      <c r="L32" s="2">
        <v>7623715</v>
      </c>
      <c r="M32" s="2">
        <v>0.42</v>
      </c>
      <c r="N32" s="2" t="s">
        <v>41</v>
      </c>
      <c r="O32" s="2"/>
      <c r="P32" s="2" t="s">
        <v>160</v>
      </c>
      <c r="Q32" s="2" t="s">
        <v>524</v>
      </c>
      <c r="R32" s="2" t="s">
        <v>33</v>
      </c>
      <c r="S32" s="2"/>
      <c r="T32" s="2" t="s">
        <v>508</v>
      </c>
      <c r="U32" s="2">
        <v>2.5</v>
      </c>
      <c r="V32" s="2" t="s">
        <v>35</v>
      </c>
      <c r="W32" s="2" t="s">
        <v>525</v>
      </c>
      <c r="X32" s="2" t="s">
        <v>482</v>
      </c>
      <c r="Y32" s="2" t="s">
        <v>146</v>
      </c>
      <c r="Z32" s="2">
        <v>1.076</v>
      </c>
      <c r="AA32" s="2">
        <v>1.064</v>
      </c>
      <c r="AB32" s="2">
        <v>1.087</v>
      </c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</row>
    <row r="33" ht="13.85" spans="1:236">
      <c r="A33" s="2">
        <v>825</v>
      </c>
      <c r="B33" s="2">
        <v>2</v>
      </c>
      <c r="C33" s="2"/>
      <c r="D33" s="2">
        <v>2021</v>
      </c>
      <c r="E33" s="2"/>
      <c r="F33" s="2" t="s">
        <v>365</v>
      </c>
      <c r="G33" s="2" t="s">
        <v>47</v>
      </c>
      <c r="H33" s="2" t="s">
        <v>47</v>
      </c>
      <c r="I33" s="2" t="s">
        <v>48</v>
      </c>
      <c r="J33" s="2" t="s">
        <v>49</v>
      </c>
      <c r="K33" s="2" t="s">
        <v>50</v>
      </c>
      <c r="L33" s="2"/>
      <c r="M33" s="2">
        <v>0.42</v>
      </c>
      <c r="N33" s="2" t="s">
        <v>41</v>
      </c>
      <c r="O33" s="2"/>
      <c r="P33" s="2"/>
      <c r="Q33" s="2" t="s">
        <v>524</v>
      </c>
      <c r="R33" s="2" t="s">
        <v>33</v>
      </c>
      <c r="S33" s="2"/>
      <c r="T33" s="2" t="s">
        <v>508</v>
      </c>
      <c r="U33" s="2">
        <v>2.5</v>
      </c>
      <c r="V33" s="2" t="s">
        <v>35</v>
      </c>
      <c r="W33" s="2" t="s">
        <v>525</v>
      </c>
      <c r="X33" s="2" t="s">
        <v>482</v>
      </c>
      <c r="Y33" s="2" t="s">
        <v>146</v>
      </c>
      <c r="Z33" s="2">
        <v>1.036</v>
      </c>
      <c r="AA33" s="2">
        <v>1.027</v>
      </c>
      <c r="AB33" s="2">
        <v>1.046</v>
      </c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</row>
    <row r="34" ht="13.85" spans="1:236">
      <c r="A34" s="2">
        <v>885</v>
      </c>
      <c r="B34" s="2">
        <v>1</v>
      </c>
      <c r="C34" s="2" t="s">
        <v>526</v>
      </c>
      <c r="D34" s="2">
        <v>2024</v>
      </c>
      <c r="E34" s="2"/>
      <c r="F34" s="2" t="s">
        <v>26</v>
      </c>
      <c r="G34" s="2" t="s">
        <v>147</v>
      </c>
      <c r="H34" s="2" t="s">
        <v>147</v>
      </c>
      <c r="I34" s="2" t="s">
        <v>28</v>
      </c>
      <c r="J34" s="2" t="s">
        <v>130</v>
      </c>
      <c r="K34" s="2" t="s">
        <v>50</v>
      </c>
      <c r="L34" s="2">
        <v>192133</v>
      </c>
      <c r="M34" s="2">
        <v>0.49</v>
      </c>
      <c r="N34" s="2"/>
      <c r="O34" s="2"/>
      <c r="P34" s="2" t="s">
        <v>527</v>
      </c>
      <c r="Q34" s="2" t="s">
        <v>148</v>
      </c>
      <c r="R34" s="2" t="s">
        <v>33</v>
      </c>
      <c r="S34" s="2"/>
      <c r="T34" s="2"/>
      <c r="U34" s="2"/>
      <c r="V34" s="2" t="s">
        <v>139</v>
      </c>
      <c r="W34" s="2" t="s">
        <v>528</v>
      </c>
      <c r="X34" s="2" t="s">
        <v>482</v>
      </c>
      <c r="Y34" s="2" t="s">
        <v>150</v>
      </c>
      <c r="Z34" s="2">
        <v>0.99</v>
      </c>
      <c r="AA34" s="2">
        <v>0.98</v>
      </c>
      <c r="AB34" s="2">
        <v>1.01</v>
      </c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</row>
    <row r="35" ht="13.85" spans="1:236">
      <c r="A35" s="2">
        <v>904</v>
      </c>
      <c r="B35" s="2">
        <v>1</v>
      </c>
      <c r="C35" s="2" t="s">
        <v>529</v>
      </c>
      <c r="D35" s="2">
        <v>2021</v>
      </c>
      <c r="E35" s="2" t="s">
        <v>530</v>
      </c>
      <c r="F35" s="2" t="s">
        <v>181</v>
      </c>
      <c r="G35" s="2" t="s">
        <v>493</v>
      </c>
      <c r="H35" s="2" t="s">
        <v>493</v>
      </c>
      <c r="I35" s="2" t="s">
        <v>28</v>
      </c>
      <c r="J35" s="2" t="s">
        <v>29</v>
      </c>
      <c r="K35" s="2" t="s">
        <v>30</v>
      </c>
      <c r="L35" s="2">
        <v>44154</v>
      </c>
      <c r="M35" s="2">
        <v>0.52</v>
      </c>
      <c r="N35" s="2" t="s">
        <v>31</v>
      </c>
      <c r="O35" s="2"/>
      <c r="P35" s="2" t="s">
        <v>531</v>
      </c>
      <c r="Q35" s="2" t="s">
        <v>532</v>
      </c>
      <c r="R35" s="2" t="s">
        <v>33</v>
      </c>
      <c r="S35" s="2"/>
      <c r="T35" s="2">
        <v>7</v>
      </c>
      <c r="U35" s="2">
        <v>3.5</v>
      </c>
      <c r="V35" s="2" t="s">
        <v>35</v>
      </c>
      <c r="W35" s="2" t="s">
        <v>533</v>
      </c>
      <c r="X35" s="2" t="s">
        <v>482</v>
      </c>
      <c r="Y35" s="2" t="s">
        <v>38</v>
      </c>
      <c r="Z35" s="2">
        <v>1.14</v>
      </c>
      <c r="AA35" s="2">
        <v>0.98</v>
      </c>
      <c r="AB35" s="2">
        <v>1.31</v>
      </c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</row>
    <row r="36" ht="13.85" spans="1:236">
      <c r="A36" s="2">
        <v>918</v>
      </c>
      <c r="B36" s="2">
        <v>1</v>
      </c>
      <c r="C36" s="2"/>
      <c r="D36" s="2">
        <v>2021</v>
      </c>
      <c r="E36" s="2"/>
      <c r="F36" s="2" t="s">
        <v>534</v>
      </c>
      <c r="G36" s="2" t="s">
        <v>159</v>
      </c>
      <c r="H36" s="2" t="s">
        <v>159</v>
      </c>
      <c r="I36" s="2" t="s">
        <v>28</v>
      </c>
      <c r="J36" s="2" t="s">
        <v>49</v>
      </c>
      <c r="K36" s="2" t="s">
        <v>30</v>
      </c>
      <c r="L36" s="2"/>
      <c r="M36" s="2"/>
      <c r="N36" s="2" t="s">
        <v>31</v>
      </c>
      <c r="O36" s="2"/>
      <c r="P36" s="2"/>
      <c r="Q36" s="2" t="s">
        <v>535</v>
      </c>
      <c r="R36" s="2" t="s">
        <v>33</v>
      </c>
      <c r="S36" s="2"/>
      <c r="T36" s="2">
        <v>7</v>
      </c>
      <c r="U36" s="2">
        <v>3.5</v>
      </c>
      <c r="V36" s="2" t="s">
        <v>35</v>
      </c>
      <c r="W36" s="2" t="s">
        <v>536</v>
      </c>
      <c r="X36" s="2" t="s">
        <v>482</v>
      </c>
      <c r="Y36" s="2" t="s">
        <v>38</v>
      </c>
      <c r="Z36" s="2">
        <v>1.01</v>
      </c>
      <c r="AA36" s="2">
        <v>0.92</v>
      </c>
      <c r="AB36" s="2">
        <v>1.12</v>
      </c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</row>
    <row r="37" ht="13.85" spans="1:236">
      <c r="A37" s="2">
        <v>918</v>
      </c>
      <c r="B37" s="2">
        <v>2</v>
      </c>
      <c r="C37" s="2"/>
      <c r="D37" s="2">
        <v>2021</v>
      </c>
      <c r="E37" s="2"/>
      <c r="F37" s="2" t="s">
        <v>365</v>
      </c>
      <c r="G37" s="2" t="s">
        <v>159</v>
      </c>
      <c r="H37" s="2" t="s">
        <v>159</v>
      </c>
      <c r="I37" s="2" t="s">
        <v>28</v>
      </c>
      <c r="J37" s="2" t="s">
        <v>49</v>
      </c>
      <c r="K37" s="2" t="s">
        <v>30</v>
      </c>
      <c r="L37" s="2"/>
      <c r="M37" s="2"/>
      <c r="N37" s="2" t="s">
        <v>31</v>
      </c>
      <c r="O37" s="2"/>
      <c r="P37" s="2"/>
      <c r="Q37" s="2"/>
      <c r="R37" s="2" t="s">
        <v>33</v>
      </c>
      <c r="S37" s="2"/>
      <c r="T37" s="2">
        <v>7</v>
      </c>
      <c r="U37" s="2">
        <v>3.5</v>
      </c>
      <c r="V37" s="2" t="s">
        <v>35</v>
      </c>
      <c r="W37" s="2" t="s">
        <v>536</v>
      </c>
      <c r="X37" s="2" t="s">
        <v>482</v>
      </c>
      <c r="Y37" s="2" t="s">
        <v>38</v>
      </c>
      <c r="Z37" s="2">
        <v>0.9</v>
      </c>
      <c r="AA37" s="2">
        <v>0.77</v>
      </c>
      <c r="AB37" s="2">
        <v>1.06</v>
      </c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</row>
    <row r="38" ht="83.65" spans="1:236">
      <c r="A38" s="2">
        <v>949</v>
      </c>
      <c r="B38" s="2">
        <v>1</v>
      </c>
      <c r="C38" s="2"/>
      <c r="D38" s="2">
        <v>2021</v>
      </c>
      <c r="E38" s="2"/>
      <c r="F38" s="2" t="s">
        <v>26</v>
      </c>
      <c r="G38" s="2" t="s">
        <v>47</v>
      </c>
      <c r="H38" s="2" t="s">
        <v>47</v>
      </c>
      <c r="I38" s="2" t="s">
        <v>48</v>
      </c>
      <c r="J38" s="2" t="s">
        <v>49</v>
      </c>
      <c r="K38" s="2" t="s">
        <v>50</v>
      </c>
      <c r="L38" s="2"/>
      <c r="M38" s="2"/>
      <c r="N38" s="2"/>
      <c r="O38" s="2"/>
      <c r="P38" s="2"/>
      <c r="Q38" s="2" t="s">
        <v>537</v>
      </c>
      <c r="R38" s="2" t="s">
        <v>33</v>
      </c>
      <c r="S38" s="2"/>
      <c r="T38" s="2" t="s">
        <v>113</v>
      </c>
      <c r="U38" s="2">
        <v>10.5</v>
      </c>
      <c r="V38" s="2" t="s">
        <v>35</v>
      </c>
      <c r="W38" s="2" t="s">
        <v>538</v>
      </c>
      <c r="X38" s="2" t="s">
        <v>482</v>
      </c>
      <c r="Y38" s="2" t="s">
        <v>38</v>
      </c>
      <c r="Z38" s="2">
        <v>1.59</v>
      </c>
      <c r="AA38" s="2">
        <v>1.17</v>
      </c>
      <c r="AB38" s="2">
        <v>2.17</v>
      </c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</row>
    <row r="39" ht="13.85" spans="1:236">
      <c r="A39" s="2">
        <v>1084</v>
      </c>
      <c r="B39" s="2">
        <v>1</v>
      </c>
      <c r="C39" s="2"/>
      <c r="D39" s="2"/>
      <c r="E39" s="2"/>
      <c r="F39" s="2" t="s">
        <v>26</v>
      </c>
      <c r="G39" s="2" t="s">
        <v>539</v>
      </c>
      <c r="H39" s="2" t="s">
        <v>540</v>
      </c>
      <c r="I39" s="2" t="s">
        <v>28</v>
      </c>
      <c r="J39" s="2" t="s">
        <v>29</v>
      </c>
      <c r="K39" s="2" t="s">
        <v>30</v>
      </c>
      <c r="L39" s="2" t="s">
        <v>541</v>
      </c>
      <c r="M39" s="2" t="s">
        <v>101</v>
      </c>
      <c r="N39" s="2" t="s">
        <v>31</v>
      </c>
      <c r="O39" s="2" t="s">
        <v>274</v>
      </c>
      <c r="P39" s="2" t="s">
        <v>542</v>
      </c>
      <c r="Q39" s="2" t="s">
        <v>543</v>
      </c>
      <c r="R39" s="2" t="s">
        <v>33</v>
      </c>
      <c r="S39" s="2" t="s">
        <v>544</v>
      </c>
      <c r="T39" s="2" t="s">
        <v>187</v>
      </c>
      <c r="U39" s="2">
        <v>7</v>
      </c>
      <c r="V39" s="2" t="s">
        <v>35</v>
      </c>
      <c r="W39" s="2" t="s">
        <v>545</v>
      </c>
      <c r="X39" s="2" t="s">
        <v>482</v>
      </c>
      <c r="Y39" s="2" t="s">
        <v>38</v>
      </c>
      <c r="Z39" s="2">
        <v>1.28</v>
      </c>
      <c r="AA39" s="2">
        <v>1.16</v>
      </c>
      <c r="AB39" s="2">
        <v>1.42</v>
      </c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</row>
    <row r="40" ht="13.85" spans="1:236">
      <c r="A40" s="2">
        <v>1084</v>
      </c>
      <c r="B40" s="2">
        <v>2</v>
      </c>
      <c r="C40" s="2"/>
      <c r="D40" s="2"/>
      <c r="E40" s="2"/>
      <c r="F40" s="2" t="s">
        <v>26</v>
      </c>
      <c r="G40" s="2" t="s">
        <v>539</v>
      </c>
      <c r="H40" s="2" t="s">
        <v>540</v>
      </c>
      <c r="I40" s="2" t="s">
        <v>28</v>
      </c>
      <c r="J40" s="2" t="s">
        <v>29</v>
      </c>
      <c r="K40" s="2" t="s">
        <v>30</v>
      </c>
      <c r="L40" s="2" t="s">
        <v>541</v>
      </c>
      <c r="M40" s="2" t="s">
        <v>101</v>
      </c>
      <c r="N40" s="2" t="s">
        <v>31</v>
      </c>
      <c r="O40" s="2" t="s">
        <v>274</v>
      </c>
      <c r="P40" s="2" t="s">
        <v>542</v>
      </c>
      <c r="Q40" s="2" t="s">
        <v>543</v>
      </c>
      <c r="R40" s="2" t="s">
        <v>33</v>
      </c>
      <c r="S40" s="2" t="s">
        <v>544</v>
      </c>
      <c r="T40" s="2" t="s">
        <v>187</v>
      </c>
      <c r="U40" s="2">
        <v>7</v>
      </c>
      <c r="V40" s="2" t="s">
        <v>35</v>
      </c>
      <c r="W40" s="2" t="s">
        <v>546</v>
      </c>
      <c r="X40" s="2" t="s">
        <v>482</v>
      </c>
      <c r="Y40" s="2" t="s">
        <v>38</v>
      </c>
      <c r="Z40" s="2">
        <v>1.26</v>
      </c>
      <c r="AA40" s="2">
        <v>1.1</v>
      </c>
      <c r="AB40" s="2">
        <v>1.44</v>
      </c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</row>
    <row r="41" ht="13.85" spans="1:236">
      <c r="A41" s="2">
        <v>1121</v>
      </c>
      <c r="B41" s="2">
        <v>1</v>
      </c>
      <c r="C41" s="2"/>
      <c r="D41" s="2"/>
      <c r="E41" s="2"/>
      <c r="F41" s="2" t="s">
        <v>547</v>
      </c>
      <c r="G41" s="2" t="s">
        <v>548</v>
      </c>
      <c r="H41" s="2" t="s">
        <v>549</v>
      </c>
      <c r="I41" s="2" t="s">
        <v>129</v>
      </c>
      <c r="J41" s="2" t="s">
        <v>190</v>
      </c>
      <c r="K41" s="2" t="s">
        <v>50</v>
      </c>
      <c r="L41" s="2" t="s">
        <v>550</v>
      </c>
      <c r="M41" s="2" t="s">
        <v>101</v>
      </c>
      <c r="N41" s="2" t="s">
        <v>41</v>
      </c>
      <c r="O41" s="2" t="s">
        <v>246</v>
      </c>
      <c r="P41" s="2" t="s">
        <v>551</v>
      </c>
      <c r="Q41" s="2" t="s">
        <v>185</v>
      </c>
      <c r="R41" s="2" t="s">
        <v>33</v>
      </c>
      <c r="S41" s="2" t="s">
        <v>552</v>
      </c>
      <c r="T41" s="2" t="s">
        <v>113</v>
      </c>
      <c r="U41" s="2">
        <v>10.5</v>
      </c>
      <c r="V41" s="2" t="s">
        <v>35</v>
      </c>
      <c r="W41" s="2" t="s">
        <v>553</v>
      </c>
      <c r="X41" s="2" t="s">
        <v>482</v>
      </c>
      <c r="Y41" s="2" t="s">
        <v>38</v>
      </c>
      <c r="Z41" s="2">
        <v>1.078</v>
      </c>
      <c r="AA41" s="2">
        <v>1.032</v>
      </c>
      <c r="AB41" s="2">
        <v>1.127</v>
      </c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</row>
    <row r="42" ht="13.85" spans="1:236">
      <c r="A42" s="2">
        <v>1121</v>
      </c>
      <c r="B42" s="2">
        <v>2</v>
      </c>
      <c r="C42" s="2"/>
      <c r="D42" s="2"/>
      <c r="E42" s="2"/>
      <c r="F42" s="2" t="s">
        <v>554</v>
      </c>
      <c r="G42" s="2" t="s">
        <v>548</v>
      </c>
      <c r="H42" s="2" t="s">
        <v>549</v>
      </c>
      <c r="I42" s="2" t="s">
        <v>129</v>
      </c>
      <c r="J42" s="2" t="s">
        <v>190</v>
      </c>
      <c r="K42" s="2" t="s">
        <v>50</v>
      </c>
      <c r="L42" s="2" t="s">
        <v>555</v>
      </c>
      <c r="M42" s="2" t="s">
        <v>101</v>
      </c>
      <c r="N42" s="2" t="s">
        <v>41</v>
      </c>
      <c r="O42" s="2" t="s">
        <v>246</v>
      </c>
      <c r="P42" s="2" t="s">
        <v>551</v>
      </c>
      <c r="Q42" s="2" t="s">
        <v>185</v>
      </c>
      <c r="R42" s="2" t="s">
        <v>33</v>
      </c>
      <c r="S42" s="2" t="s">
        <v>552</v>
      </c>
      <c r="T42" s="2" t="s">
        <v>113</v>
      </c>
      <c r="U42" s="2">
        <v>10.5</v>
      </c>
      <c r="V42" s="2" t="s">
        <v>35</v>
      </c>
      <c r="W42" s="2" t="s">
        <v>553</v>
      </c>
      <c r="X42" s="2" t="s">
        <v>482</v>
      </c>
      <c r="Y42" s="2" t="s">
        <v>38</v>
      </c>
      <c r="Z42" s="2">
        <v>1.03</v>
      </c>
      <c r="AA42" s="2">
        <v>1.001</v>
      </c>
      <c r="AB42" s="2">
        <v>1.059</v>
      </c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</row>
    <row r="43" ht="13.85" spans="1:236">
      <c r="A43" s="2">
        <v>1121</v>
      </c>
      <c r="B43" s="2">
        <v>3</v>
      </c>
      <c r="C43" s="2"/>
      <c r="D43" s="2"/>
      <c r="E43" s="2"/>
      <c r="F43" s="2" t="s">
        <v>116</v>
      </c>
      <c r="G43" s="2" t="s">
        <v>548</v>
      </c>
      <c r="H43" s="2" t="s">
        <v>549</v>
      </c>
      <c r="I43" s="2" t="s">
        <v>129</v>
      </c>
      <c r="J43" s="2" t="s">
        <v>190</v>
      </c>
      <c r="K43" s="2" t="s">
        <v>50</v>
      </c>
      <c r="L43" s="2" t="s">
        <v>556</v>
      </c>
      <c r="M43" s="2" t="s">
        <v>101</v>
      </c>
      <c r="N43" s="2" t="s">
        <v>41</v>
      </c>
      <c r="O43" s="2" t="s">
        <v>246</v>
      </c>
      <c r="P43" s="2" t="s">
        <v>551</v>
      </c>
      <c r="Q43" s="2" t="s">
        <v>185</v>
      </c>
      <c r="R43" s="2" t="s">
        <v>33</v>
      </c>
      <c r="S43" s="2" t="s">
        <v>552</v>
      </c>
      <c r="T43" s="2" t="s">
        <v>113</v>
      </c>
      <c r="U43" s="2">
        <v>10.5</v>
      </c>
      <c r="V43" s="2" t="s">
        <v>35</v>
      </c>
      <c r="W43" s="2" t="s">
        <v>553</v>
      </c>
      <c r="X43" s="2" t="s">
        <v>482</v>
      </c>
      <c r="Y43" s="2" t="s">
        <v>38</v>
      </c>
      <c r="Z43" s="2">
        <v>1.003</v>
      </c>
      <c r="AA43" s="2">
        <v>0.986</v>
      </c>
      <c r="AB43" s="2">
        <v>1.02</v>
      </c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</row>
    <row r="44" ht="13.85" spans="1:236">
      <c r="A44" s="2">
        <v>1168</v>
      </c>
      <c r="B44" s="2">
        <v>1</v>
      </c>
      <c r="C44" s="2"/>
      <c r="D44" s="2"/>
      <c r="E44" s="2"/>
      <c r="F44" s="2" t="s">
        <v>251</v>
      </c>
      <c r="G44" s="2" t="s">
        <v>100</v>
      </c>
      <c r="H44" s="2" t="s">
        <v>100</v>
      </c>
      <c r="I44" s="2" t="s">
        <v>28</v>
      </c>
      <c r="J44" s="2" t="s">
        <v>40</v>
      </c>
      <c r="K44" s="2" t="s">
        <v>50</v>
      </c>
      <c r="L44" s="2">
        <v>474739</v>
      </c>
      <c r="M44" s="2" t="s">
        <v>101</v>
      </c>
      <c r="N44" s="2" t="s">
        <v>31</v>
      </c>
      <c r="O44" s="2" t="s">
        <v>258</v>
      </c>
      <c r="P44" s="2" t="s">
        <v>259</v>
      </c>
      <c r="Q44" s="2" t="s">
        <v>260</v>
      </c>
      <c r="R44" s="2" t="s">
        <v>33</v>
      </c>
      <c r="S44" s="2" t="s">
        <v>261</v>
      </c>
      <c r="T44" s="2" t="s">
        <v>101</v>
      </c>
      <c r="U44" s="2"/>
      <c r="V44" s="2" t="s">
        <v>101</v>
      </c>
      <c r="W44" s="2" t="s">
        <v>557</v>
      </c>
      <c r="X44" s="2" t="s">
        <v>482</v>
      </c>
      <c r="Y44" s="2" t="s">
        <v>38</v>
      </c>
      <c r="Z44" s="2">
        <v>1.044</v>
      </c>
      <c r="AA44" s="2">
        <v>1.01</v>
      </c>
      <c r="AB44" s="2">
        <v>1.08</v>
      </c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</row>
    <row r="45" ht="13.85" spans="1:236">
      <c r="A45" s="2">
        <v>1172</v>
      </c>
      <c r="B45" s="2">
        <v>1</v>
      </c>
      <c r="C45" s="2" t="s">
        <v>558</v>
      </c>
      <c r="D45" s="2" t="s">
        <v>559</v>
      </c>
      <c r="E45" s="2"/>
      <c r="F45" s="2" t="s">
        <v>212</v>
      </c>
      <c r="G45" s="2" t="s">
        <v>367</v>
      </c>
      <c r="H45" s="2" t="s">
        <v>367</v>
      </c>
      <c r="I45" s="2" t="s">
        <v>129</v>
      </c>
      <c r="J45" s="2" t="s">
        <v>330</v>
      </c>
      <c r="K45" s="2" t="s">
        <v>50</v>
      </c>
      <c r="L45" s="2">
        <v>393317</v>
      </c>
      <c r="M45" s="2">
        <v>0.46</v>
      </c>
      <c r="N45" s="2" t="s">
        <v>31</v>
      </c>
      <c r="O45" s="2" t="s">
        <v>560</v>
      </c>
      <c r="P45" s="2" t="s">
        <v>561</v>
      </c>
      <c r="Q45" s="2" t="s">
        <v>254</v>
      </c>
      <c r="R45" s="2" t="s">
        <v>33</v>
      </c>
      <c r="S45" s="2" t="s">
        <v>562</v>
      </c>
      <c r="T45" s="2" t="s">
        <v>63</v>
      </c>
      <c r="U45" s="2">
        <v>3.5</v>
      </c>
      <c r="V45" s="2" t="s">
        <v>35</v>
      </c>
      <c r="W45" s="2" t="s">
        <v>563</v>
      </c>
      <c r="X45" s="2" t="s">
        <v>482</v>
      </c>
      <c r="Y45" s="2" t="s">
        <v>38</v>
      </c>
      <c r="Z45" s="2">
        <v>1.05</v>
      </c>
      <c r="AA45" s="2">
        <v>1.02</v>
      </c>
      <c r="AB45" s="2">
        <v>1.09</v>
      </c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</row>
    <row r="46" ht="13.85" spans="1:236">
      <c r="A46" s="2">
        <v>1172</v>
      </c>
      <c r="B46" s="2">
        <v>2</v>
      </c>
      <c r="C46" s="2"/>
      <c r="D46" s="2"/>
      <c r="E46" s="2"/>
      <c r="F46" s="2" t="s">
        <v>564</v>
      </c>
      <c r="G46" s="2" t="s">
        <v>367</v>
      </c>
      <c r="H46" s="2" t="s">
        <v>367</v>
      </c>
      <c r="I46" s="2" t="s">
        <v>129</v>
      </c>
      <c r="J46" s="2" t="s">
        <v>330</v>
      </c>
      <c r="K46" s="2" t="s">
        <v>50</v>
      </c>
      <c r="L46" s="2">
        <v>510491</v>
      </c>
      <c r="M46" s="2"/>
      <c r="N46" s="2" t="s">
        <v>31</v>
      </c>
      <c r="O46" s="2" t="s">
        <v>560</v>
      </c>
      <c r="P46" s="2" t="s">
        <v>561</v>
      </c>
      <c r="Q46" s="2" t="s">
        <v>254</v>
      </c>
      <c r="R46" s="2" t="s">
        <v>33</v>
      </c>
      <c r="S46" s="2" t="s">
        <v>562</v>
      </c>
      <c r="T46" s="2" t="s">
        <v>63</v>
      </c>
      <c r="U46" s="2">
        <v>3.5</v>
      </c>
      <c r="V46" s="2" t="s">
        <v>35</v>
      </c>
      <c r="W46" s="2" t="s">
        <v>563</v>
      </c>
      <c r="X46" s="2" t="s">
        <v>482</v>
      </c>
      <c r="Y46" s="2" t="s">
        <v>38</v>
      </c>
      <c r="Z46" s="2">
        <v>1.04</v>
      </c>
      <c r="AA46" s="2">
        <v>1</v>
      </c>
      <c r="AB46" s="2">
        <v>1.07</v>
      </c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</row>
    <row r="47" ht="13.85" spans="1:236">
      <c r="A47" s="2">
        <v>1172</v>
      </c>
      <c r="B47" s="2">
        <v>3</v>
      </c>
      <c r="C47" s="2"/>
      <c r="D47" s="2"/>
      <c r="E47" s="2"/>
      <c r="F47" s="2" t="s">
        <v>565</v>
      </c>
      <c r="G47" s="2" t="s">
        <v>367</v>
      </c>
      <c r="H47" s="2" t="s">
        <v>367</v>
      </c>
      <c r="I47" s="2" t="s">
        <v>129</v>
      </c>
      <c r="J47" s="2" t="s">
        <v>330</v>
      </c>
      <c r="K47" s="2" t="s">
        <v>50</v>
      </c>
      <c r="L47" s="2">
        <v>342212</v>
      </c>
      <c r="M47" s="2"/>
      <c r="N47" s="2" t="s">
        <v>31</v>
      </c>
      <c r="O47" s="2" t="s">
        <v>560</v>
      </c>
      <c r="P47" s="2" t="s">
        <v>561</v>
      </c>
      <c r="Q47" s="2" t="s">
        <v>254</v>
      </c>
      <c r="R47" s="2" t="s">
        <v>33</v>
      </c>
      <c r="S47" s="2" t="s">
        <v>562</v>
      </c>
      <c r="T47" s="2" t="s">
        <v>63</v>
      </c>
      <c r="U47" s="2">
        <v>3.5</v>
      </c>
      <c r="V47" s="2" t="s">
        <v>35</v>
      </c>
      <c r="W47" s="2" t="s">
        <v>563</v>
      </c>
      <c r="X47" s="2" t="s">
        <v>482</v>
      </c>
      <c r="Y47" s="2" t="s">
        <v>38</v>
      </c>
      <c r="Z47" s="2">
        <v>1.09</v>
      </c>
      <c r="AA47" s="2">
        <v>1.04</v>
      </c>
      <c r="AB47" s="2">
        <v>1.13</v>
      </c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</row>
    <row r="48" ht="13.85" spans="1:236">
      <c r="A48" s="2">
        <v>1177</v>
      </c>
      <c r="B48" s="2">
        <v>1</v>
      </c>
      <c r="C48" s="2"/>
      <c r="D48" s="2"/>
      <c r="E48" s="2"/>
      <c r="F48" s="2" t="s">
        <v>566</v>
      </c>
      <c r="G48" s="2" t="s">
        <v>567</v>
      </c>
      <c r="H48" s="2" t="s">
        <v>568</v>
      </c>
      <c r="I48" s="2" t="s">
        <v>48</v>
      </c>
      <c r="J48" s="2" t="s">
        <v>130</v>
      </c>
      <c r="K48" s="2" t="s">
        <v>50</v>
      </c>
      <c r="L48" s="2" t="s">
        <v>569</v>
      </c>
      <c r="M48" s="2">
        <v>0.429</v>
      </c>
      <c r="N48" s="2" t="s">
        <v>41</v>
      </c>
      <c r="O48" s="2" t="s">
        <v>570</v>
      </c>
      <c r="P48" s="2" t="s">
        <v>571</v>
      </c>
      <c r="Q48" s="2" t="s">
        <v>572</v>
      </c>
      <c r="R48" s="2" t="s">
        <v>33</v>
      </c>
      <c r="S48" s="2" t="s">
        <v>573</v>
      </c>
      <c r="T48" s="2" t="s">
        <v>101</v>
      </c>
      <c r="U48" s="2"/>
      <c r="V48" s="2" t="s">
        <v>101</v>
      </c>
      <c r="W48" s="2" t="s">
        <v>574</v>
      </c>
      <c r="X48" s="2" t="s">
        <v>482</v>
      </c>
      <c r="Y48" s="2" t="s">
        <v>146</v>
      </c>
      <c r="Z48" s="2">
        <v>1.039</v>
      </c>
      <c r="AA48" s="2">
        <v>1.032</v>
      </c>
      <c r="AB48" s="2">
        <v>1.058</v>
      </c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</row>
    <row r="49" ht="13.85" spans="1:236">
      <c r="A49" s="2">
        <v>1167</v>
      </c>
      <c r="B49" s="2">
        <v>1</v>
      </c>
      <c r="C49" s="2"/>
      <c r="D49" s="2"/>
      <c r="E49" s="2"/>
      <c r="F49" s="2" t="s">
        <v>575</v>
      </c>
      <c r="G49" s="2" t="s">
        <v>159</v>
      </c>
      <c r="H49" s="2" t="s">
        <v>159</v>
      </c>
      <c r="I49" s="2" t="s">
        <v>28</v>
      </c>
      <c r="J49" s="2" t="s">
        <v>49</v>
      </c>
      <c r="K49" s="2" t="s">
        <v>30</v>
      </c>
      <c r="L49" s="2">
        <v>436314</v>
      </c>
      <c r="M49" s="2" t="s">
        <v>101</v>
      </c>
      <c r="N49" s="2" t="s">
        <v>41</v>
      </c>
      <c r="O49" s="2" t="s">
        <v>576</v>
      </c>
      <c r="P49" s="2" t="s">
        <v>577</v>
      </c>
      <c r="Q49" s="2" t="s">
        <v>578</v>
      </c>
      <c r="R49" s="2" t="s">
        <v>33</v>
      </c>
      <c r="S49" s="2" t="s">
        <v>261</v>
      </c>
      <c r="T49" s="2" t="s">
        <v>579</v>
      </c>
      <c r="U49" s="2">
        <v>6.5</v>
      </c>
      <c r="V49" s="2" t="s">
        <v>35</v>
      </c>
      <c r="W49" s="2" t="s">
        <v>580</v>
      </c>
      <c r="X49" s="2" t="s">
        <v>482</v>
      </c>
      <c r="Y49" s="2" t="s">
        <v>146</v>
      </c>
      <c r="Z49" s="2">
        <v>1.18</v>
      </c>
      <c r="AA49" s="2">
        <v>1.13</v>
      </c>
      <c r="AB49" s="2">
        <v>1.22</v>
      </c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</row>
    <row r="50" ht="13.85" spans="1:23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</row>
  </sheetData>
  <autoFilter xmlns:etc="http://www.wps.cn/officeDocument/2017/etCustomData" ref="A1:AB49" etc:filterBottomFollowUsedRange="0">
    <extLst/>
  </autoFilter>
  <hyperlinks>
    <hyperlink ref="W49" r:id="rId3" display="Sudden cardiac arrest " tooltip="https://www.sciencedirect.com/topics/biochemistry-genetics-and-molecular-biology/sudden-cardiac-death"/>
  </hyperlinks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2"/>
  <sheetViews>
    <sheetView workbookViewId="0">
      <pane xSplit="1" topLeftCell="B1" activePane="topRight" state="frozen"/>
      <selection/>
      <selection pane="topRight" activeCell="H1" sqref="H1"/>
    </sheetView>
  </sheetViews>
  <sheetFormatPr defaultColWidth="9.02654867256637" defaultRowHeight="13.85"/>
  <cols>
    <col min="1" max="84" width="9.02654867256637" style="2"/>
  </cols>
  <sheetData>
    <row r="1" ht="13.9" spans="1:2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12" t="s">
        <v>19</v>
      </c>
      <c r="V1" s="2" t="s">
        <v>20</v>
      </c>
      <c r="W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</row>
    <row r="2" spans="1:28">
      <c r="A2" s="2">
        <v>21</v>
      </c>
      <c r="B2" s="2">
        <v>1</v>
      </c>
      <c r="C2" s="2" t="s">
        <v>287</v>
      </c>
      <c r="D2" s="2">
        <v>2020</v>
      </c>
      <c r="E2" s="2" t="s">
        <v>288</v>
      </c>
      <c r="F2" s="2" t="s">
        <v>26</v>
      </c>
      <c r="G2" s="2" t="s">
        <v>289</v>
      </c>
      <c r="H2" s="2" t="s">
        <v>289</v>
      </c>
      <c r="I2" s="2" t="s">
        <v>28</v>
      </c>
      <c r="J2" s="2" t="s">
        <v>152</v>
      </c>
      <c r="K2" s="2" t="s">
        <v>50</v>
      </c>
      <c r="L2" s="2">
        <v>15369</v>
      </c>
      <c r="N2" s="2" t="s">
        <v>41</v>
      </c>
      <c r="Q2" s="2" t="s">
        <v>291</v>
      </c>
      <c r="R2" s="2" t="s">
        <v>33</v>
      </c>
      <c r="T2" s="2" t="s">
        <v>43</v>
      </c>
      <c r="U2" s="2">
        <v>15</v>
      </c>
      <c r="V2" s="2" t="s">
        <v>35</v>
      </c>
      <c r="W2" s="2" t="s">
        <v>581</v>
      </c>
      <c r="X2" s="2" t="s">
        <v>582</v>
      </c>
      <c r="Y2" s="2" t="s">
        <v>38</v>
      </c>
      <c r="Z2" s="2">
        <v>2.29</v>
      </c>
      <c r="AA2" s="2">
        <v>0.96</v>
      </c>
      <c r="AB2" s="2">
        <v>5.48</v>
      </c>
    </row>
    <row r="3" spans="1:28">
      <c r="A3" s="2">
        <v>723</v>
      </c>
      <c r="B3" s="2">
        <v>1</v>
      </c>
      <c r="D3" s="2">
        <v>2023</v>
      </c>
      <c r="F3" s="2" t="s">
        <v>26</v>
      </c>
      <c r="G3" s="2" t="s">
        <v>583</v>
      </c>
      <c r="H3" s="2" t="s">
        <v>583</v>
      </c>
      <c r="I3" s="2" t="s">
        <v>309</v>
      </c>
      <c r="J3" s="2" t="s">
        <v>199</v>
      </c>
      <c r="K3" s="2" t="s">
        <v>30</v>
      </c>
      <c r="M3" s="2">
        <v>0.519</v>
      </c>
      <c r="N3" s="2" t="s">
        <v>31</v>
      </c>
      <c r="Q3" s="2" t="s">
        <v>584</v>
      </c>
      <c r="R3" s="2" t="s">
        <v>33</v>
      </c>
      <c r="T3" s="2" t="s">
        <v>53</v>
      </c>
      <c r="U3" s="2">
        <v>10</v>
      </c>
      <c r="V3" s="2" t="s">
        <v>35</v>
      </c>
      <c r="W3" s="2" t="s">
        <v>585</v>
      </c>
      <c r="X3" s="2" t="s">
        <v>582</v>
      </c>
      <c r="Y3" s="2" t="s">
        <v>38</v>
      </c>
      <c r="Z3" s="2">
        <v>0.97</v>
      </c>
      <c r="AA3" s="2">
        <v>0.85</v>
      </c>
      <c r="AB3" s="2">
        <v>1.08</v>
      </c>
    </row>
    <row r="4" spans="1:28">
      <c r="A4" s="2">
        <v>725</v>
      </c>
      <c r="B4" s="2">
        <v>1</v>
      </c>
      <c r="C4" s="2" t="s">
        <v>586</v>
      </c>
      <c r="D4" s="2">
        <v>2023</v>
      </c>
      <c r="E4" s="2" t="s">
        <v>587</v>
      </c>
      <c r="F4" s="2" t="s">
        <v>26</v>
      </c>
      <c r="G4" s="2" t="s">
        <v>583</v>
      </c>
      <c r="H4" s="2" t="s">
        <v>583</v>
      </c>
      <c r="I4" s="2" t="s">
        <v>309</v>
      </c>
      <c r="J4" s="2" t="s">
        <v>199</v>
      </c>
      <c r="K4" s="2" t="s">
        <v>30</v>
      </c>
      <c r="L4" s="2">
        <v>8300962</v>
      </c>
      <c r="N4" s="2" t="s">
        <v>31</v>
      </c>
      <c r="P4" s="2" t="s">
        <v>588</v>
      </c>
      <c r="Q4" s="2" t="s">
        <v>584</v>
      </c>
      <c r="R4" s="2" t="s">
        <v>33</v>
      </c>
      <c r="T4" s="2" t="s">
        <v>53</v>
      </c>
      <c r="U4" s="2">
        <v>10</v>
      </c>
      <c r="V4" s="2" t="s">
        <v>35</v>
      </c>
      <c r="W4" s="2" t="s">
        <v>585</v>
      </c>
      <c r="X4" s="2" t="s">
        <v>582</v>
      </c>
      <c r="Y4" s="2" t="s">
        <v>38</v>
      </c>
      <c r="Z4" s="2">
        <v>1.013</v>
      </c>
      <c r="AA4" s="2">
        <v>1.003</v>
      </c>
      <c r="AB4" s="2">
        <v>1.024</v>
      </c>
    </row>
    <row r="5" spans="1:28">
      <c r="A5" s="2">
        <v>763</v>
      </c>
      <c r="B5" s="2">
        <v>1</v>
      </c>
      <c r="C5" s="2" t="s">
        <v>589</v>
      </c>
      <c r="D5" s="2">
        <v>2021</v>
      </c>
      <c r="E5" s="2" t="s">
        <v>590</v>
      </c>
      <c r="F5" s="2" t="s">
        <v>222</v>
      </c>
      <c r="G5" s="2" t="s">
        <v>366</v>
      </c>
      <c r="H5" s="2" t="s">
        <v>367</v>
      </c>
      <c r="I5" s="2" t="s">
        <v>129</v>
      </c>
      <c r="J5" s="2" t="s">
        <v>330</v>
      </c>
      <c r="K5" s="2" t="s">
        <v>50</v>
      </c>
      <c r="L5" s="2">
        <v>7667</v>
      </c>
      <c r="N5" s="2" t="s">
        <v>41</v>
      </c>
      <c r="P5" s="2" t="s">
        <v>591</v>
      </c>
      <c r="Q5" s="2" t="s">
        <v>592</v>
      </c>
      <c r="R5" s="2" t="s">
        <v>33</v>
      </c>
      <c r="T5" s="2" t="s">
        <v>63</v>
      </c>
      <c r="U5" s="2">
        <v>3.5</v>
      </c>
      <c r="V5" s="2" t="s">
        <v>35</v>
      </c>
      <c r="W5" s="2" t="s">
        <v>581</v>
      </c>
      <c r="X5" s="2" t="s">
        <v>582</v>
      </c>
      <c r="Y5" s="2" t="s">
        <v>146</v>
      </c>
      <c r="Z5" s="2">
        <v>1.48</v>
      </c>
      <c r="AA5" s="2">
        <v>1.15</v>
      </c>
      <c r="AB5" s="2">
        <v>1.91</v>
      </c>
    </row>
    <row r="6" spans="1:28">
      <c r="A6" s="2">
        <v>763</v>
      </c>
      <c r="B6" s="2">
        <v>2</v>
      </c>
      <c r="D6" s="2">
        <v>2021</v>
      </c>
      <c r="F6" s="2" t="s">
        <v>224</v>
      </c>
      <c r="G6" s="2" t="s">
        <v>366</v>
      </c>
      <c r="H6" s="2" t="s">
        <v>367</v>
      </c>
      <c r="I6" s="2" t="s">
        <v>129</v>
      </c>
      <c r="J6" s="2" t="s">
        <v>330</v>
      </c>
      <c r="K6" s="2" t="s">
        <v>50</v>
      </c>
      <c r="L6" s="2">
        <v>12079</v>
      </c>
      <c r="N6" s="2" t="s">
        <v>41</v>
      </c>
      <c r="Q6" s="2" t="s">
        <v>592</v>
      </c>
      <c r="R6" s="2" t="s">
        <v>33</v>
      </c>
      <c r="T6" s="2" t="s">
        <v>63</v>
      </c>
      <c r="U6" s="2">
        <v>3.5</v>
      </c>
      <c r="V6" s="2" t="s">
        <v>35</v>
      </c>
      <c r="W6" s="2" t="s">
        <v>581</v>
      </c>
      <c r="X6" s="2" t="s">
        <v>582</v>
      </c>
      <c r="Y6" s="2" t="s">
        <v>146</v>
      </c>
      <c r="Z6" s="2">
        <v>1.28</v>
      </c>
      <c r="AA6" s="2">
        <v>1.04</v>
      </c>
      <c r="AB6" s="2">
        <v>1.59</v>
      </c>
    </row>
    <row r="7" spans="1:28">
      <c r="A7" s="2">
        <v>848</v>
      </c>
      <c r="B7" s="2">
        <v>1</v>
      </c>
      <c r="D7" s="2">
        <v>2012</v>
      </c>
      <c r="F7" s="2" t="s">
        <v>26</v>
      </c>
      <c r="G7" s="2" t="s">
        <v>39</v>
      </c>
      <c r="H7" s="2" t="s">
        <v>39</v>
      </c>
      <c r="I7" s="2" t="s">
        <v>28</v>
      </c>
      <c r="J7" s="2" t="s">
        <v>40</v>
      </c>
      <c r="K7" s="2" t="s">
        <v>30</v>
      </c>
      <c r="M7" s="2">
        <v>0.69</v>
      </c>
      <c r="N7" s="2" t="s">
        <v>41</v>
      </c>
      <c r="Q7" s="2" t="s">
        <v>593</v>
      </c>
      <c r="R7" s="2" t="s">
        <v>33</v>
      </c>
      <c r="T7" s="2" t="s">
        <v>594</v>
      </c>
      <c r="U7" s="2">
        <v>7.5</v>
      </c>
      <c r="V7" s="2" t="s">
        <v>35</v>
      </c>
      <c r="W7" s="2" t="s">
        <v>595</v>
      </c>
      <c r="X7" s="2" t="s">
        <v>582</v>
      </c>
      <c r="Y7" s="2" t="s">
        <v>38</v>
      </c>
      <c r="Z7" s="2">
        <v>1.47</v>
      </c>
      <c r="AA7" s="2">
        <v>1.13</v>
      </c>
      <c r="AB7" s="2">
        <v>1.91</v>
      </c>
    </row>
    <row r="8" spans="1:28">
      <c r="A8" s="2">
        <v>947</v>
      </c>
      <c r="B8" s="2">
        <v>1</v>
      </c>
      <c r="C8" s="2" t="s">
        <v>596</v>
      </c>
      <c r="D8" s="2">
        <v>2024</v>
      </c>
      <c r="E8" s="2" t="s">
        <v>597</v>
      </c>
      <c r="F8" s="2" t="s">
        <v>26</v>
      </c>
      <c r="G8" s="2" t="s">
        <v>159</v>
      </c>
      <c r="H8" s="2" t="s">
        <v>159</v>
      </c>
      <c r="I8" s="2" t="s">
        <v>28</v>
      </c>
      <c r="J8" s="2" t="s">
        <v>49</v>
      </c>
      <c r="K8" s="2" t="s">
        <v>30</v>
      </c>
      <c r="L8" s="2" t="s">
        <v>160</v>
      </c>
      <c r="M8" s="2" t="s">
        <v>101</v>
      </c>
      <c r="N8" s="2" t="s">
        <v>31</v>
      </c>
      <c r="P8" s="2" t="s">
        <v>598</v>
      </c>
      <c r="Q8" s="2" t="s">
        <v>599</v>
      </c>
      <c r="R8" s="2" t="s">
        <v>33</v>
      </c>
      <c r="T8" s="2" t="s">
        <v>113</v>
      </c>
      <c r="U8" s="2">
        <v>10.5</v>
      </c>
      <c r="V8" s="2" t="s">
        <v>35</v>
      </c>
      <c r="W8" s="2" t="s">
        <v>600</v>
      </c>
      <c r="X8" s="2" t="s">
        <v>582</v>
      </c>
      <c r="Y8" s="2" t="s">
        <v>38</v>
      </c>
      <c r="Z8" s="2">
        <v>1.165</v>
      </c>
      <c r="AA8" s="2">
        <v>0.925</v>
      </c>
      <c r="AB8" s="2">
        <v>1.466</v>
      </c>
    </row>
    <row r="9" spans="1:28">
      <c r="A9" s="2">
        <v>947</v>
      </c>
      <c r="B9" s="2">
        <v>2</v>
      </c>
      <c r="D9" s="2">
        <v>2024</v>
      </c>
      <c r="F9" s="2" t="s">
        <v>26</v>
      </c>
      <c r="G9" s="2" t="s">
        <v>159</v>
      </c>
      <c r="H9" s="2" t="s">
        <v>159</v>
      </c>
      <c r="I9" s="2" t="s">
        <v>28</v>
      </c>
      <c r="J9" s="2" t="s">
        <v>49</v>
      </c>
      <c r="K9" s="2" t="s">
        <v>30</v>
      </c>
      <c r="N9" s="2" t="s">
        <v>31</v>
      </c>
      <c r="Q9" s="2" t="s">
        <v>599</v>
      </c>
      <c r="R9" s="2" t="s">
        <v>33</v>
      </c>
      <c r="T9" s="2" t="s">
        <v>113</v>
      </c>
      <c r="U9" s="2">
        <v>10.5</v>
      </c>
      <c r="V9" s="2" t="s">
        <v>35</v>
      </c>
      <c r="W9" s="2" t="s">
        <v>601</v>
      </c>
      <c r="X9" s="2" t="s">
        <v>582</v>
      </c>
      <c r="Y9" s="2" t="s">
        <v>38</v>
      </c>
      <c r="Z9" s="2">
        <v>1.526</v>
      </c>
      <c r="AA9" s="2">
        <v>0.918</v>
      </c>
      <c r="AB9" s="2">
        <v>2.535</v>
      </c>
    </row>
    <row r="10" spans="1:28">
      <c r="A10" s="2">
        <v>947</v>
      </c>
      <c r="B10" s="2">
        <v>3</v>
      </c>
      <c r="D10" s="2">
        <v>2024</v>
      </c>
      <c r="F10" s="2" t="s">
        <v>26</v>
      </c>
      <c r="G10" s="2" t="s">
        <v>159</v>
      </c>
      <c r="H10" s="2" t="s">
        <v>159</v>
      </c>
      <c r="I10" s="2" t="s">
        <v>28</v>
      </c>
      <c r="J10" s="2" t="s">
        <v>49</v>
      </c>
      <c r="K10" s="2" t="s">
        <v>30</v>
      </c>
      <c r="N10" s="2" t="s">
        <v>31</v>
      </c>
      <c r="Q10" s="2" t="s">
        <v>599</v>
      </c>
      <c r="R10" s="2" t="s">
        <v>33</v>
      </c>
      <c r="T10" s="2" t="s">
        <v>113</v>
      </c>
      <c r="U10" s="2">
        <v>10.5</v>
      </c>
      <c r="V10" s="2" t="s">
        <v>35</v>
      </c>
      <c r="W10" s="2" t="s">
        <v>602</v>
      </c>
      <c r="X10" s="2" t="s">
        <v>582</v>
      </c>
      <c r="Y10" s="2" t="s">
        <v>38</v>
      </c>
      <c r="Z10" s="2">
        <v>1.338</v>
      </c>
      <c r="AA10" s="2">
        <v>0.624</v>
      </c>
      <c r="AB10" s="2">
        <v>2.872</v>
      </c>
    </row>
    <row r="11" spans="1:28">
      <c r="A11" s="2">
        <v>947</v>
      </c>
      <c r="B11" s="2">
        <v>4</v>
      </c>
      <c r="D11" s="2">
        <v>2024</v>
      </c>
      <c r="F11" s="2" t="s">
        <v>26</v>
      </c>
      <c r="G11" s="2" t="s">
        <v>159</v>
      </c>
      <c r="H11" s="2" t="s">
        <v>159</v>
      </c>
      <c r="I11" s="2" t="s">
        <v>28</v>
      </c>
      <c r="J11" s="2" t="s">
        <v>49</v>
      </c>
      <c r="K11" s="2" t="s">
        <v>30</v>
      </c>
      <c r="N11" s="2" t="s">
        <v>31</v>
      </c>
      <c r="Q11" s="2" t="s">
        <v>599</v>
      </c>
      <c r="R11" s="2" t="s">
        <v>33</v>
      </c>
      <c r="T11" s="2" t="s">
        <v>113</v>
      </c>
      <c r="U11" s="2">
        <v>10.5</v>
      </c>
      <c r="V11" s="2" t="s">
        <v>35</v>
      </c>
      <c r="W11" s="2" t="s">
        <v>603</v>
      </c>
      <c r="X11" s="2" t="s">
        <v>582</v>
      </c>
      <c r="Y11" s="2" t="s">
        <v>38</v>
      </c>
      <c r="Z11" s="2">
        <v>1.693</v>
      </c>
      <c r="AA11" s="2">
        <v>1.055</v>
      </c>
      <c r="AB11" s="2">
        <v>2.718</v>
      </c>
    </row>
    <row r="12" spans="1:28">
      <c r="A12" s="2">
        <v>947</v>
      </c>
      <c r="B12" s="2">
        <v>5</v>
      </c>
      <c r="D12" s="2">
        <v>2024</v>
      </c>
      <c r="F12" s="2" t="s">
        <v>26</v>
      </c>
      <c r="G12" s="2" t="s">
        <v>159</v>
      </c>
      <c r="H12" s="2" t="s">
        <v>159</v>
      </c>
      <c r="I12" s="2" t="s">
        <v>28</v>
      </c>
      <c r="J12" s="2" t="s">
        <v>49</v>
      </c>
      <c r="K12" s="2" t="s">
        <v>30</v>
      </c>
      <c r="N12" s="2" t="s">
        <v>31</v>
      </c>
      <c r="Q12" s="2" t="s">
        <v>599</v>
      </c>
      <c r="R12" s="2" t="s">
        <v>33</v>
      </c>
      <c r="T12" s="2" t="s">
        <v>113</v>
      </c>
      <c r="U12" s="2">
        <v>10.5</v>
      </c>
      <c r="V12" s="2" t="s">
        <v>35</v>
      </c>
      <c r="W12" s="2" t="s">
        <v>604</v>
      </c>
      <c r="X12" s="2" t="s">
        <v>582</v>
      </c>
      <c r="Y12" s="2" t="s">
        <v>38</v>
      </c>
      <c r="Z12" s="2">
        <v>1.368</v>
      </c>
      <c r="AA12" s="2">
        <v>0.93</v>
      </c>
      <c r="AB12" s="2">
        <v>2.013</v>
      </c>
    </row>
    <row r="13" spans="1:28">
      <c r="A13" s="2">
        <v>1082</v>
      </c>
      <c r="B13" s="2">
        <v>1</v>
      </c>
      <c r="C13" s="2" t="s">
        <v>605</v>
      </c>
      <c r="D13" s="2" t="s">
        <v>606</v>
      </c>
      <c r="F13" s="2" t="s">
        <v>181</v>
      </c>
      <c r="G13" s="2" t="s">
        <v>607</v>
      </c>
      <c r="H13" s="2" t="s">
        <v>608</v>
      </c>
      <c r="I13" s="2" t="s">
        <v>28</v>
      </c>
      <c r="J13" s="2" t="s">
        <v>40</v>
      </c>
      <c r="K13" s="2" t="s">
        <v>30</v>
      </c>
      <c r="L13" s="2" t="s">
        <v>609</v>
      </c>
      <c r="M13" s="2" t="s">
        <v>101</v>
      </c>
      <c r="N13" s="2" t="s">
        <v>41</v>
      </c>
      <c r="O13" s="2" t="s">
        <v>610</v>
      </c>
      <c r="P13" s="2" t="s">
        <v>611</v>
      </c>
      <c r="Q13" s="2" t="s">
        <v>612</v>
      </c>
      <c r="R13" s="2" t="s">
        <v>33</v>
      </c>
      <c r="S13" s="2" t="s">
        <v>613</v>
      </c>
      <c r="T13" s="2">
        <v>0</v>
      </c>
      <c r="U13" s="2">
        <v>0</v>
      </c>
      <c r="V13" s="2" t="s">
        <v>139</v>
      </c>
      <c r="W13" s="2" t="s">
        <v>614</v>
      </c>
      <c r="X13" s="2" t="s">
        <v>582</v>
      </c>
      <c r="Y13" s="2" t="s">
        <v>146</v>
      </c>
      <c r="Z13" s="2">
        <v>1.143</v>
      </c>
      <c r="AA13" s="2">
        <v>1.074</v>
      </c>
      <c r="AB13" s="2">
        <v>1.217</v>
      </c>
    </row>
    <row r="14" spans="1:28">
      <c r="A14" s="2">
        <v>1082</v>
      </c>
      <c r="B14" s="2">
        <v>2</v>
      </c>
      <c r="F14" s="2" t="s">
        <v>181</v>
      </c>
      <c r="G14" s="2" t="s">
        <v>607</v>
      </c>
      <c r="H14" s="2" t="s">
        <v>608</v>
      </c>
      <c r="I14" s="2" t="s">
        <v>28</v>
      </c>
      <c r="J14" s="2" t="s">
        <v>40</v>
      </c>
      <c r="K14" s="2" t="s">
        <v>30</v>
      </c>
      <c r="L14" s="2" t="s">
        <v>609</v>
      </c>
      <c r="M14" s="2" t="s">
        <v>101</v>
      </c>
      <c r="N14" s="2" t="s">
        <v>41</v>
      </c>
      <c r="O14" s="2" t="s">
        <v>610</v>
      </c>
      <c r="P14" s="2" t="s">
        <v>611</v>
      </c>
      <c r="Q14" s="2" t="s">
        <v>612</v>
      </c>
      <c r="R14" s="2" t="s">
        <v>33</v>
      </c>
      <c r="S14" s="2" t="s">
        <v>613</v>
      </c>
      <c r="T14" s="2">
        <v>1</v>
      </c>
      <c r="U14" s="2">
        <v>1</v>
      </c>
      <c r="V14" s="2" t="s">
        <v>139</v>
      </c>
      <c r="W14" s="2" t="s">
        <v>614</v>
      </c>
      <c r="X14" s="2" t="s">
        <v>582</v>
      </c>
      <c r="Y14" s="2" t="s">
        <v>146</v>
      </c>
      <c r="Z14" s="2">
        <v>1.189</v>
      </c>
      <c r="AA14" s="2">
        <v>1.118</v>
      </c>
      <c r="AB14" s="2">
        <v>1.264</v>
      </c>
    </row>
    <row r="15" spans="1:28">
      <c r="A15" s="2">
        <v>1082</v>
      </c>
      <c r="B15" s="2">
        <v>3</v>
      </c>
      <c r="F15" s="2" t="s">
        <v>181</v>
      </c>
      <c r="G15" s="2" t="s">
        <v>607</v>
      </c>
      <c r="H15" s="2" t="s">
        <v>608</v>
      </c>
      <c r="I15" s="2" t="s">
        <v>28</v>
      </c>
      <c r="J15" s="2" t="s">
        <v>40</v>
      </c>
      <c r="K15" s="2" t="s">
        <v>30</v>
      </c>
      <c r="L15" s="2" t="s">
        <v>609</v>
      </c>
      <c r="M15" s="2" t="s">
        <v>101</v>
      </c>
      <c r="N15" s="2" t="s">
        <v>41</v>
      </c>
      <c r="O15" s="2" t="s">
        <v>610</v>
      </c>
      <c r="P15" s="2" t="s">
        <v>611</v>
      </c>
      <c r="Q15" s="2" t="s">
        <v>612</v>
      </c>
      <c r="R15" s="2" t="s">
        <v>33</v>
      </c>
      <c r="S15" s="2" t="s">
        <v>613</v>
      </c>
      <c r="T15" s="2">
        <v>2</v>
      </c>
      <c r="U15" s="2">
        <v>2</v>
      </c>
      <c r="V15" s="2" t="s">
        <v>139</v>
      </c>
      <c r="W15" s="2" t="s">
        <v>614</v>
      </c>
      <c r="X15" s="2" t="s">
        <v>582</v>
      </c>
      <c r="Y15" s="2" t="s">
        <v>146</v>
      </c>
      <c r="Z15" s="2">
        <v>1.221</v>
      </c>
      <c r="AA15" s="2">
        <v>1.148</v>
      </c>
      <c r="AB15" s="2">
        <v>1.299</v>
      </c>
    </row>
    <row r="16" spans="1:28">
      <c r="A16" s="2">
        <v>1082</v>
      </c>
      <c r="B16" s="2">
        <v>4</v>
      </c>
      <c r="F16" s="2" t="s">
        <v>181</v>
      </c>
      <c r="G16" s="2" t="s">
        <v>607</v>
      </c>
      <c r="H16" s="2" t="s">
        <v>608</v>
      </c>
      <c r="I16" s="2" t="s">
        <v>28</v>
      </c>
      <c r="J16" s="2" t="s">
        <v>40</v>
      </c>
      <c r="K16" s="2" t="s">
        <v>30</v>
      </c>
      <c r="L16" s="2" t="s">
        <v>609</v>
      </c>
      <c r="M16" s="2" t="s">
        <v>101</v>
      </c>
      <c r="N16" s="2" t="s">
        <v>41</v>
      </c>
      <c r="O16" s="2" t="s">
        <v>610</v>
      </c>
      <c r="P16" s="2" t="s">
        <v>611</v>
      </c>
      <c r="Q16" s="2" t="s">
        <v>612</v>
      </c>
      <c r="R16" s="2" t="s">
        <v>33</v>
      </c>
      <c r="S16" s="2" t="s">
        <v>613</v>
      </c>
      <c r="T16" s="2">
        <v>3</v>
      </c>
      <c r="U16" s="2">
        <v>3</v>
      </c>
      <c r="V16" s="2" t="s">
        <v>139</v>
      </c>
      <c r="W16" s="2" t="s">
        <v>614</v>
      </c>
      <c r="X16" s="2" t="s">
        <v>582</v>
      </c>
      <c r="Y16" s="2" t="s">
        <v>146</v>
      </c>
      <c r="Z16" s="2">
        <v>1.172</v>
      </c>
      <c r="AA16" s="2">
        <v>1.101</v>
      </c>
      <c r="AB16" s="2">
        <v>1.248</v>
      </c>
    </row>
    <row r="17" spans="1:28">
      <c r="A17" s="2">
        <v>1082</v>
      </c>
      <c r="B17" s="2">
        <v>5</v>
      </c>
      <c r="F17" s="2" t="s">
        <v>181</v>
      </c>
      <c r="G17" s="2" t="s">
        <v>607</v>
      </c>
      <c r="H17" s="2" t="s">
        <v>608</v>
      </c>
      <c r="I17" s="2" t="s">
        <v>28</v>
      </c>
      <c r="J17" s="2" t="s">
        <v>40</v>
      </c>
      <c r="K17" s="2" t="s">
        <v>30</v>
      </c>
      <c r="L17" s="2" t="s">
        <v>609</v>
      </c>
      <c r="M17" s="2" t="s">
        <v>101</v>
      </c>
      <c r="N17" s="2" t="s">
        <v>41</v>
      </c>
      <c r="O17" s="2" t="s">
        <v>610</v>
      </c>
      <c r="P17" s="2" t="s">
        <v>611</v>
      </c>
      <c r="Q17" s="2" t="s">
        <v>612</v>
      </c>
      <c r="R17" s="2" t="s">
        <v>33</v>
      </c>
      <c r="S17" s="2" t="s">
        <v>613</v>
      </c>
      <c r="T17" s="2">
        <v>4</v>
      </c>
      <c r="U17" s="2">
        <v>4</v>
      </c>
      <c r="V17" s="2" t="s">
        <v>139</v>
      </c>
      <c r="W17" s="2" t="s">
        <v>614</v>
      </c>
      <c r="X17" s="2" t="s">
        <v>582</v>
      </c>
      <c r="Y17" s="2" t="s">
        <v>146</v>
      </c>
      <c r="Z17" s="2">
        <v>1.141</v>
      </c>
      <c r="AA17" s="2">
        <v>1.072</v>
      </c>
      <c r="AB17" s="2">
        <v>1.215</v>
      </c>
    </row>
    <row r="18" spans="1:28">
      <c r="A18" s="2">
        <v>1082</v>
      </c>
      <c r="B18" s="2">
        <v>6</v>
      </c>
      <c r="F18" s="2" t="s">
        <v>181</v>
      </c>
      <c r="G18" s="2" t="s">
        <v>607</v>
      </c>
      <c r="H18" s="2" t="s">
        <v>608</v>
      </c>
      <c r="I18" s="2" t="s">
        <v>28</v>
      </c>
      <c r="J18" s="2" t="s">
        <v>40</v>
      </c>
      <c r="K18" s="2" t="s">
        <v>30</v>
      </c>
      <c r="L18" s="2" t="s">
        <v>609</v>
      </c>
      <c r="M18" s="2" t="s">
        <v>101</v>
      </c>
      <c r="N18" s="2" t="s">
        <v>41</v>
      </c>
      <c r="O18" s="2" t="s">
        <v>610</v>
      </c>
      <c r="P18" s="2" t="s">
        <v>611</v>
      </c>
      <c r="Q18" s="2" t="s">
        <v>612</v>
      </c>
      <c r="R18" s="2" t="s">
        <v>33</v>
      </c>
      <c r="S18" s="2" t="s">
        <v>613</v>
      </c>
      <c r="T18" s="2">
        <v>5</v>
      </c>
      <c r="U18" s="2">
        <v>5</v>
      </c>
      <c r="V18" s="2" t="s">
        <v>139</v>
      </c>
      <c r="W18" s="2" t="s">
        <v>614</v>
      </c>
      <c r="X18" s="2" t="s">
        <v>582</v>
      </c>
      <c r="Y18" s="2" t="s">
        <v>146</v>
      </c>
      <c r="Z18" s="2">
        <v>1.098</v>
      </c>
      <c r="AA18" s="2">
        <v>1.03</v>
      </c>
      <c r="AB18" s="2">
        <v>1.17</v>
      </c>
    </row>
    <row r="19" spans="1:28">
      <c r="A19" s="2">
        <v>1082</v>
      </c>
      <c r="B19" s="2">
        <v>7</v>
      </c>
      <c r="F19" s="2" t="s">
        <v>181</v>
      </c>
      <c r="G19" s="2" t="s">
        <v>607</v>
      </c>
      <c r="H19" s="2" t="s">
        <v>608</v>
      </c>
      <c r="I19" s="2" t="s">
        <v>28</v>
      </c>
      <c r="J19" s="2" t="s">
        <v>40</v>
      </c>
      <c r="K19" s="2" t="s">
        <v>30</v>
      </c>
      <c r="L19" s="2" t="s">
        <v>609</v>
      </c>
      <c r="M19" s="2" t="s">
        <v>101</v>
      </c>
      <c r="N19" s="2" t="s">
        <v>41</v>
      </c>
      <c r="O19" s="2" t="s">
        <v>610</v>
      </c>
      <c r="P19" s="2" t="s">
        <v>611</v>
      </c>
      <c r="Q19" s="2" t="s">
        <v>612</v>
      </c>
      <c r="R19" s="2" t="s">
        <v>33</v>
      </c>
      <c r="S19" s="2" t="s">
        <v>613</v>
      </c>
      <c r="T19" s="2">
        <v>6</v>
      </c>
      <c r="U19" s="2">
        <v>6</v>
      </c>
      <c r="V19" s="2" t="s">
        <v>139</v>
      </c>
      <c r="W19" s="2" t="s">
        <v>614</v>
      </c>
      <c r="X19" s="2" t="s">
        <v>582</v>
      </c>
      <c r="Y19" s="2" t="s">
        <v>146</v>
      </c>
      <c r="Z19" s="2">
        <v>1.09</v>
      </c>
      <c r="AA19" s="2">
        <v>1.022</v>
      </c>
      <c r="AB19" s="2">
        <v>1.161</v>
      </c>
    </row>
    <row r="20" spans="1:28">
      <c r="A20" s="2">
        <v>1082</v>
      </c>
      <c r="B20" s="2">
        <v>8</v>
      </c>
      <c r="F20" s="2" t="s">
        <v>181</v>
      </c>
      <c r="G20" s="2" t="s">
        <v>607</v>
      </c>
      <c r="H20" s="2" t="s">
        <v>608</v>
      </c>
      <c r="I20" s="2" t="s">
        <v>28</v>
      </c>
      <c r="J20" s="2" t="s">
        <v>40</v>
      </c>
      <c r="K20" s="2" t="s">
        <v>30</v>
      </c>
      <c r="L20" s="2" t="s">
        <v>609</v>
      </c>
      <c r="M20" s="2" t="s">
        <v>101</v>
      </c>
      <c r="N20" s="2" t="s">
        <v>41</v>
      </c>
      <c r="O20" s="2" t="s">
        <v>610</v>
      </c>
      <c r="P20" s="2" t="s">
        <v>611</v>
      </c>
      <c r="Q20" s="2" t="s">
        <v>612</v>
      </c>
      <c r="R20" s="2" t="s">
        <v>33</v>
      </c>
      <c r="S20" s="2" t="s">
        <v>613</v>
      </c>
      <c r="T20" s="2">
        <v>7</v>
      </c>
      <c r="U20" s="2">
        <v>7</v>
      </c>
      <c r="V20" s="2" t="s">
        <v>139</v>
      </c>
      <c r="W20" s="2" t="s">
        <v>614</v>
      </c>
      <c r="X20" s="2" t="s">
        <v>582</v>
      </c>
      <c r="Y20" s="2" t="s">
        <v>146</v>
      </c>
      <c r="Z20" s="2">
        <v>1.114</v>
      </c>
      <c r="AA20" s="2">
        <v>1.045</v>
      </c>
      <c r="AB20" s="2">
        <v>1.187</v>
      </c>
    </row>
    <row r="21" spans="1:28">
      <c r="A21" s="2">
        <v>1082</v>
      </c>
      <c r="B21" s="2">
        <v>9</v>
      </c>
      <c r="F21" s="2" t="s">
        <v>181</v>
      </c>
      <c r="G21" s="2" t="s">
        <v>607</v>
      </c>
      <c r="H21" s="2" t="s">
        <v>608</v>
      </c>
      <c r="I21" s="2" t="s">
        <v>28</v>
      </c>
      <c r="J21" s="2" t="s">
        <v>40</v>
      </c>
      <c r="K21" s="2" t="s">
        <v>30</v>
      </c>
      <c r="L21" s="2" t="s">
        <v>615</v>
      </c>
      <c r="M21" s="2" t="s">
        <v>101</v>
      </c>
      <c r="N21" s="2" t="s">
        <v>41</v>
      </c>
      <c r="O21" s="2" t="s">
        <v>610</v>
      </c>
      <c r="P21" s="2" t="s">
        <v>611</v>
      </c>
      <c r="Q21" s="2" t="s">
        <v>612</v>
      </c>
      <c r="R21" s="2" t="s">
        <v>33</v>
      </c>
      <c r="S21" s="2" t="s">
        <v>613</v>
      </c>
      <c r="T21" s="2">
        <v>0</v>
      </c>
      <c r="U21" s="2">
        <v>0</v>
      </c>
      <c r="V21" s="2" t="s">
        <v>139</v>
      </c>
      <c r="W21" s="2" t="s">
        <v>616</v>
      </c>
      <c r="X21" s="2" t="s">
        <v>582</v>
      </c>
      <c r="Y21" s="2" t="s">
        <v>146</v>
      </c>
      <c r="Z21" s="2">
        <v>1.188</v>
      </c>
      <c r="AA21" s="2">
        <v>1.101</v>
      </c>
      <c r="AB21" s="2">
        <v>1.282</v>
      </c>
    </row>
    <row r="22" spans="1:28">
      <c r="A22" s="2">
        <v>1082</v>
      </c>
      <c r="B22" s="2">
        <v>10</v>
      </c>
      <c r="F22" s="2" t="s">
        <v>181</v>
      </c>
      <c r="G22" s="2" t="s">
        <v>607</v>
      </c>
      <c r="H22" s="2" t="s">
        <v>608</v>
      </c>
      <c r="I22" s="2" t="s">
        <v>28</v>
      </c>
      <c r="J22" s="2" t="s">
        <v>40</v>
      </c>
      <c r="K22" s="2" t="s">
        <v>30</v>
      </c>
      <c r="L22" s="2" t="s">
        <v>615</v>
      </c>
      <c r="M22" s="2" t="s">
        <v>101</v>
      </c>
      <c r="N22" s="2" t="s">
        <v>41</v>
      </c>
      <c r="O22" s="2" t="s">
        <v>610</v>
      </c>
      <c r="P22" s="2" t="s">
        <v>611</v>
      </c>
      <c r="Q22" s="2" t="s">
        <v>612</v>
      </c>
      <c r="R22" s="2" t="s">
        <v>33</v>
      </c>
      <c r="S22" s="2" t="s">
        <v>613</v>
      </c>
      <c r="T22" s="2">
        <v>1</v>
      </c>
      <c r="U22" s="2">
        <v>1</v>
      </c>
      <c r="V22" s="2" t="s">
        <v>139</v>
      </c>
      <c r="W22" s="2" t="s">
        <v>616</v>
      </c>
      <c r="X22" s="2" t="s">
        <v>582</v>
      </c>
      <c r="Y22" s="2" t="s">
        <v>146</v>
      </c>
      <c r="Z22" s="2">
        <v>1.207</v>
      </c>
      <c r="AA22" s="2">
        <v>1.121</v>
      </c>
      <c r="AB22" s="2">
        <v>1.301</v>
      </c>
    </row>
    <row r="23" spans="1:28">
      <c r="A23" s="2">
        <v>1082</v>
      </c>
      <c r="B23" s="2">
        <v>11</v>
      </c>
      <c r="F23" s="2" t="s">
        <v>181</v>
      </c>
      <c r="G23" s="2" t="s">
        <v>607</v>
      </c>
      <c r="H23" s="2" t="s">
        <v>608</v>
      </c>
      <c r="I23" s="2" t="s">
        <v>28</v>
      </c>
      <c r="J23" s="2" t="s">
        <v>40</v>
      </c>
      <c r="K23" s="2" t="s">
        <v>30</v>
      </c>
      <c r="L23" s="2" t="s">
        <v>615</v>
      </c>
      <c r="M23" s="2" t="s">
        <v>101</v>
      </c>
      <c r="N23" s="2" t="s">
        <v>41</v>
      </c>
      <c r="O23" s="2" t="s">
        <v>610</v>
      </c>
      <c r="P23" s="2" t="s">
        <v>611</v>
      </c>
      <c r="Q23" s="2" t="s">
        <v>612</v>
      </c>
      <c r="R23" s="2" t="s">
        <v>33</v>
      </c>
      <c r="S23" s="2" t="s">
        <v>613</v>
      </c>
      <c r="T23" s="2">
        <v>2</v>
      </c>
      <c r="U23" s="2">
        <v>2</v>
      </c>
      <c r="V23" s="2" t="s">
        <v>139</v>
      </c>
      <c r="W23" s="2" t="s">
        <v>616</v>
      </c>
      <c r="X23" s="2" t="s">
        <v>582</v>
      </c>
      <c r="Y23" s="2" t="s">
        <v>146</v>
      </c>
      <c r="Z23" s="2">
        <v>1.262</v>
      </c>
      <c r="AA23" s="2">
        <v>1.171</v>
      </c>
      <c r="AB23" s="2">
        <v>1.361</v>
      </c>
    </row>
    <row r="24" spans="1:28">
      <c r="A24" s="2">
        <v>1082</v>
      </c>
      <c r="B24" s="2">
        <v>12</v>
      </c>
      <c r="F24" s="2" t="s">
        <v>181</v>
      </c>
      <c r="G24" s="2" t="s">
        <v>607</v>
      </c>
      <c r="H24" s="2" t="s">
        <v>608</v>
      </c>
      <c r="I24" s="2" t="s">
        <v>28</v>
      </c>
      <c r="J24" s="2" t="s">
        <v>40</v>
      </c>
      <c r="K24" s="2" t="s">
        <v>30</v>
      </c>
      <c r="L24" s="2" t="s">
        <v>615</v>
      </c>
      <c r="M24" s="2" t="s">
        <v>101</v>
      </c>
      <c r="N24" s="2" t="s">
        <v>41</v>
      </c>
      <c r="O24" s="2" t="s">
        <v>610</v>
      </c>
      <c r="P24" s="2" t="s">
        <v>611</v>
      </c>
      <c r="Q24" s="2" t="s">
        <v>612</v>
      </c>
      <c r="R24" s="2" t="s">
        <v>33</v>
      </c>
      <c r="S24" s="2" t="s">
        <v>613</v>
      </c>
      <c r="T24" s="2">
        <v>3</v>
      </c>
      <c r="U24" s="2">
        <v>3</v>
      </c>
      <c r="V24" s="2" t="s">
        <v>139</v>
      </c>
      <c r="W24" s="2" t="s">
        <v>616</v>
      </c>
      <c r="X24" s="2" t="s">
        <v>582</v>
      </c>
      <c r="Y24" s="2" t="s">
        <v>146</v>
      </c>
      <c r="Z24" s="2">
        <v>1.199</v>
      </c>
      <c r="AA24" s="2">
        <v>1.11</v>
      </c>
      <c r="AB24" s="2">
        <v>1.295</v>
      </c>
    </row>
    <row r="25" spans="1:28">
      <c r="A25" s="2">
        <v>1082</v>
      </c>
      <c r="B25" s="2">
        <v>13</v>
      </c>
      <c r="F25" s="2" t="s">
        <v>181</v>
      </c>
      <c r="G25" s="2" t="s">
        <v>607</v>
      </c>
      <c r="H25" s="2" t="s">
        <v>608</v>
      </c>
      <c r="I25" s="2" t="s">
        <v>28</v>
      </c>
      <c r="J25" s="2" t="s">
        <v>40</v>
      </c>
      <c r="K25" s="2" t="s">
        <v>30</v>
      </c>
      <c r="L25" s="2" t="s">
        <v>615</v>
      </c>
      <c r="M25" s="2" t="s">
        <v>101</v>
      </c>
      <c r="N25" s="2" t="s">
        <v>41</v>
      </c>
      <c r="O25" s="2" t="s">
        <v>610</v>
      </c>
      <c r="P25" s="2" t="s">
        <v>611</v>
      </c>
      <c r="Q25" s="2" t="s">
        <v>612</v>
      </c>
      <c r="R25" s="2" t="s">
        <v>33</v>
      </c>
      <c r="S25" s="2" t="s">
        <v>613</v>
      </c>
      <c r="T25" s="2">
        <v>4</v>
      </c>
      <c r="U25" s="2">
        <v>4</v>
      </c>
      <c r="V25" s="2" t="s">
        <v>139</v>
      </c>
      <c r="W25" s="2" t="s">
        <v>616</v>
      </c>
      <c r="X25" s="2" t="s">
        <v>582</v>
      </c>
      <c r="Y25" s="2" t="s">
        <v>146</v>
      </c>
      <c r="Z25" s="2">
        <v>1.175</v>
      </c>
      <c r="AA25" s="2">
        <v>1.087</v>
      </c>
      <c r="AB25" s="2">
        <v>1.269</v>
      </c>
    </row>
    <row r="26" spans="1:28">
      <c r="A26" s="2">
        <v>1082</v>
      </c>
      <c r="B26" s="2">
        <v>14</v>
      </c>
      <c r="F26" s="2" t="s">
        <v>181</v>
      </c>
      <c r="G26" s="2" t="s">
        <v>607</v>
      </c>
      <c r="H26" s="2" t="s">
        <v>608</v>
      </c>
      <c r="I26" s="2" t="s">
        <v>28</v>
      </c>
      <c r="J26" s="2" t="s">
        <v>40</v>
      </c>
      <c r="K26" s="2" t="s">
        <v>30</v>
      </c>
      <c r="L26" s="2" t="s">
        <v>615</v>
      </c>
      <c r="M26" s="2" t="s">
        <v>101</v>
      </c>
      <c r="N26" s="2" t="s">
        <v>41</v>
      </c>
      <c r="O26" s="2" t="s">
        <v>610</v>
      </c>
      <c r="P26" s="2" t="s">
        <v>611</v>
      </c>
      <c r="Q26" s="2" t="s">
        <v>612</v>
      </c>
      <c r="R26" s="2" t="s">
        <v>33</v>
      </c>
      <c r="S26" s="2" t="s">
        <v>613</v>
      </c>
      <c r="T26" s="2">
        <v>5</v>
      </c>
      <c r="U26" s="2">
        <v>5</v>
      </c>
      <c r="V26" s="2" t="s">
        <v>139</v>
      </c>
      <c r="W26" s="2" t="s">
        <v>616</v>
      </c>
      <c r="X26" s="2" t="s">
        <v>582</v>
      </c>
      <c r="Y26" s="2" t="s">
        <v>146</v>
      </c>
      <c r="Z26" s="2">
        <v>1.108</v>
      </c>
      <c r="AA26" s="2">
        <v>1.024</v>
      </c>
      <c r="AB26" s="2">
        <v>1.198</v>
      </c>
    </row>
    <row r="27" spans="1:28">
      <c r="A27" s="2">
        <v>1082</v>
      </c>
      <c r="B27" s="2">
        <v>15</v>
      </c>
      <c r="F27" s="2" t="s">
        <v>181</v>
      </c>
      <c r="G27" s="2" t="s">
        <v>607</v>
      </c>
      <c r="H27" s="2" t="s">
        <v>608</v>
      </c>
      <c r="I27" s="2" t="s">
        <v>28</v>
      </c>
      <c r="J27" s="2" t="s">
        <v>40</v>
      </c>
      <c r="K27" s="2" t="s">
        <v>30</v>
      </c>
      <c r="L27" s="2" t="s">
        <v>615</v>
      </c>
      <c r="M27" s="2" t="s">
        <v>101</v>
      </c>
      <c r="N27" s="2" t="s">
        <v>41</v>
      </c>
      <c r="O27" s="2" t="s">
        <v>610</v>
      </c>
      <c r="P27" s="2" t="s">
        <v>611</v>
      </c>
      <c r="Q27" s="2" t="s">
        <v>612</v>
      </c>
      <c r="R27" s="2" t="s">
        <v>33</v>
      </c>
      <c r="S27" s="2" t="s">
        <v>613</v>
      </c>
      <c r="T27" s="2">
        <v>6</v>
      </c>
      <c r="U27" s="2">
        <v>6</v>
      </c>
      <c r="V27" s="2" t="s">
        <v>139</v>
      </c>
      <c r="W27" s="2" t="s">
        <v>616</v>
      </c>
      <c r="X27" s="2" t="s">
        <v>582</v>
      </c>
      <c r="Y27" s="2" t="s">
        <v>146</v>
      </c>
      <c r="Z27" s="2">
        <v>1.09</v>
      </c>
      <c r="AA27" s="2">
        <v>1.008</v>
      </c>
      <c r="AB27" s="2">
        <v>1.179</v>
      </c>
    </row>
    <row r="28" spans="1:28">
      <c r="A28" s="2">
        <v>1082</v>
      </c>
      <c r="B28" s="2">
        <v>16</v>
      </c>
      <c r="F28" s="2" t="s">
        <v>181</v>
      </c>
      <c r="G28" s="2" t="s">
        <v>607</v>
      </c>
      <c r="H28" s="2" t="s">
        <v>608</v>
      </c>
      <c r="I28" s="2" t="s">
        <v>28</v>
      </c>
      <c r="J28" s="2" t="s">
        <v>40</v>
      </c>
      <c r="K28" s="2" t="s">
        <v>30</v>
      </c>
      <c r="L28" s="2" t="s">
        <v>615</v>
      </c>
      <c r="M28" s="2" t="s">
        <v>101</v>
      </c>
      <c r="N28" s="2" t="s">
        <v>41</v>
      </c>
      <c r="O28" s="2" t="s">
        <v>610</v>
      </c>
      <c r="P28" s="2" t="s">
        <v>611</v>
      </c>
      <c r="Q28" s="2" t="s">
        <v>612</v>
      </c>
      <c r="R28" s="2" t="s">
        <v>33</v>
      </c>
      <c r="S28" s="2" t="s">
        <v>613</v>
      </c>
      <c r="T28" s="2">
        <v>7</v>
      </c>
      <c r="U28" s="2">
        <v>7</v>
      </c>
      <c r="V28" s="2" t="s">
        <v>139</v>
      </c>
      <c r="W28" s="2" t="s">
        <v>616</v>
      </c>
      <c r="X28" s="2" t="s">
        <v>582</v>
      </c>
      <c r="Y28" s="2" t="s">
        <v>146</v>
      </c>
      <c r="Z28" s="2">
        <v>1.091</v>
      </c>
      <c r="AA28" s="2">
        <v>1.008</v>
      </c>
      <c r="AB28" s="2">
        <v>1.181</v>
      </c>
    </row>
    <row r="29" spans="1:28">
      <c r="A29" s="2">
        <v>1100</v>
      </c>
      <c r="B29" s="2">
        <v>1</v>
      </c>
      <c r="F29" s="2" t="s">
        <v>116</v>
      </c>
      <c r="G29" s="2" t="s">
        <v>617</v>
      </c>
      <c r="H29" s="2" t="s">
        <v>617</v>
      </c>
      <c r="I29" s="2" t="s">
        <v>28</v>
      </c>
      <c r="J29" s="2" t="s">
        <v>29</v>
      </c>
      <c r="K29" s="2" t="s">
        <v>30</v>
      </c>
      <c r="L29" s="2" t="s">
        <v>618</v>
      </c>
      <c r="M29" s="2" t="s">
        <v>101</v>
      </c>
      <c r="N29" s="2" t="s">
        <v>41</v>
      </c>
      <c r="O29" s="2" t="s">
        <v>619</v>
      </c>
      <c r="P29" s="2" t="s">
        <v>620</v>
      </c>
      <c r="Q29" s="2" t="s">
        <v>185</v>
      </c>
      <c r="R29" s="2" t="s">
        <v>33</v>
      </c>
      <c r="S29" s="2" t="s">
        <v>171</v>
      </c>
      <c r="T29" s="2" t="s">
        <v>508</v>
      </c>
      <c r="U29" s="2">
        <v>2.5</v>
      </c>
      <c r="V29" s="2" t="s">
        <v>35</v>
      </c>
      <c r="W29" s="2" t="s">
        <v>621</v>
      </c>
      <c r="X29" s="2" t="s">
        <v>582</v>
      </c>
      <c r="Y29" s="2" t="s">
        <v>38</v>
      </c>
      <c r="Z29" s="2">
        <v>1.2</v>
      </c>
      <c r="AA29" s="2">
        <v>1.16</v>
      </c>
      <c r="AB29" s="2">
        <v>1.24</v>
      </c>
    </row>
    <row r="30" spans="1:28">
      <c r="A30" s="2">
        <v>1100</v>
      </c>
      <c r="B30" s="2">
        <v>2</v>
      </c>
      <c r="F30" s="2" t="s">
        <v>116</v>
      </c>
      <c r="G30" s="2" t="s">
        <v>617</v>
      </c>
      <c r="H30" s="2" t="s">
        <v>617</v>
      </c>
      <c r="I30" s="2" t="s">
        <v>28</v>
      </c>
      <c r="J30" s="2" t="s">
        <v>29</v>
      </c>
      <c r="K30" s="2" t="s">
        <v>30</v>
      </c>
      <c r="L30" s="2" t="s">
        <v>618</v>
      </c>
      <c r="M30" s="2" t="s">
        <v>101</v>
      </c>
      <c r="N30" s="2" t="s">
        <v>41</v>
      </c>
      <c r="O30" s="2" t="s">
        <v>619</v>
      </c>
      <c r="P30" s="2" t="s">
        <v>620</v>
      </c>
      <c r="Q30" s="2" t="s">
        <v>185</v>
      </c>
      <c r="R30" s="2" t="s">
        <v>33</v>
      </c>
      <c r="S30" s="2" t="s">
        <v>171</v>
      </c>
      <c r="T30" s="2" t="s">
        <v>508</v>
      </c>
      <c r="U30" s="2">
        <v>2.5</v>
      </c>
      <c r="V30" s="2" t="s">
        <v>35</v>
      </c>
      <c r="W30" s="2" t="s">
        <v>622</v>
      </c>
      <c r="X30" s="2" t="s">
        <v>582</v>
      </c>
      <c r="Y30" s="2" t="s">
        <v>38</v>
      </c>
      <c r="Z30" s="2">
        <v>1.23</v>
      </c>
      <c r="AA30" s="2">
        <v>1.09</v>
      </c>
      <c r="AB30" s="2">
        <v>1.39</v>
      </c>
    </row>
    <row r="31" spans="1:28">
      <c r="A31" s="2">
        <v>1175</v>
      </c>
      <c r="B31" s="2">
        <v>1</v>
      </c>
      <c r="F31" s="2" t="s">
        <v>465</v>
      </c>
      <c r="G31" s="2" t="s">
        <v>466</v>
      </c>
      <c r="H31" s="2" t="s">
        <v>214</v>
      </c>
      <c r="I31" s="2" t="s">
        <v>214</v>
      </c>
      <c r="J31" s="2" t="s">
        <v>214</v>
      </c>
      <c r="K31" s="2" t="s">
        <v>214</v>
      </c>
      <c r="L31" s="2" t="s">
        <v>101</v>
      </c>
      <c r="M31" s="2" t="s">
        <v>101</v>
      </c>
      <c r="N31" s="2" t="s">
        <v>31</v>
      </c>
      <c r="O31" s="2" t="s">
        <v>467</v>
      </c>
      <c r="P31" s="2" t="s">
        <v>468</v>
      </c>
      <c r="Q31" s="2" t="s">
        <v>361</v>
      </c>
      <c r="R31" s="2" t="s">
        <v>33</v>
      </c>
      <c r="S31" s="2" t="s">
        <v>463</v>
      </c>
      <c r="T31" s="2" t="s">
        <v>113</v>
      </c>
      <c r="U31" s="2">
        <v>10.5</v>
      </c>
      <c r="V31" s="2" t="s">
        <v>35</v>
      </c>
      <c r="W31" s="2" t="s">
        <v>623</v>
      </c>
      <c r="X31" s="2" t="s">
        <v>624</v>
      </c>
      <c r="Y31" s="2" t="s">
        <v>38</v>
      </c>
      <c r="Z31" s="2">
        <v>1.09</v>
      </c>
      <c r="AA31" s="2">
        <v>1.05</v>
      </c>
      <c r="AB31" s="2">
        <v>1.12</v>
      </c>
    </row>
    <row r="32" spans="1:28">
      <c r="A32" s="2">
        <v>1175</v>
      </c>
      <c r="B32" s="2">
        <v>2</v>
      </c>
      <c r="F32" s="2" t="s">
        <v>469</v>
      </c>
      <c r="G32" s="2" t="s">
        <v>466</v>
      </c>
      <c r="H32" s="2" t="s">
        <v>214</v>
      </c>
      <c r="I32" s="2" t="s">
        <v>214</v>
      </c>
      <c r="J32" s="2" t="s">
        <v>214</v>
      </c>
      <c r="K32" s="2" t="s">
        <v>214</v>
      </c>
      <c r="L32" s="2" t="s">
        <v>101</v>
      </c>
      <c r="M32" s="2" t="s">
        <v>101</v>
      </c>
      <c r="N32" s="2" t="s">
        <v>31</v>
      </c>
      <c r="O32" s="2" t="s">
        <v>467</v>
      </c>
      <c r="P32" s="2" t="s">
        <v>468</v>
      </c>
      <c r="Q32" s="2" t="s">
        <v>361</v>
      </c>
      <c r="R32" s="2" t="s">
        <v>33</v>
      </c>
      <c r="S32" s="2" t="s">
        <v>463</v>
      </c>
      <c r="T32" s="2" t="s">
        <v>113</v>
      </c>
      <c r="U32" s="2">
        <v>10.5</v>
      </c>
      <c r="V32" s="2" t="s">
        <v>35</v>
      </c>
      <c r="W32" s="2" t="s">
        <v>623</v>
      </c>
      <c r="X32" s="2" t="s">
        <v>624</v>
      </c>
      <c r="Y32" s="2" t="s">
        <v>38</v>
      </c>
      <c r="Z32" s="2">
        <v>1.15</v>
      </c>
      <c r="AA32" s="2">
        <v>1.12</v>
      </c>
      <c r="AB32" s="2">
        <v>1.18</v>
      </c>
    </row>
  </sheetData>
  <autoFilter xmlns:etc="http://www.wps.cn/officeDocument/2017/etCustomData" ref="A1:AB32" etc:filterBottomFollowUsedRange="0">
    <extLst/>
  </autoFilter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V12"/>
  <sheetViews>
    <sheetView workbookViewId="0">
      <pane xSplit="1" topLeftCell="B1" activePane="topRight" state="frozen"/>
      <selection/>
      <selection pane="topRight" activeCell="H1" sqref="G1 H1"/>
    </sheetView>
  </sheetViews>
  <sheetFormatPr defaultColWidth="9.02654867256637" defaultRowHeight="13.85"/>
  <cols>
    <col min="1" max="15" width="9.02654867256637" style="1"/>
    <col min="16" max="16" width="11.0176991150442" style="1" customWidth="1"/>
    <col min="17" max="17" width="95.3185840707965" style="1" customWidth="1"/>
    <col min="18" max="18" width="14.6814159292035" style="1" customWidth="1"/>
    <col min="19" max="16384" width="9.02654867256637" style="1"/>
  </cols>
  <sheetData>
    <row r="1" ht="13.9" spans="1:12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13" t="s">
        <v>19</v>
      </c>
      <c r="V1" s="3" t="s">
        <v>20</v>
      </c>
      <c r="W1" s="3" t="s">
        <v>21</v>
      </c>
      <c r="X1" s="3"/>
      <c r="Y1" s="3" t="s">
        <v>22</v>
      </c>
      <c r="Z1" s="3" t="s">
        <v>23</v>
      </c>
      <c r="AA1" s="3" t="s">
        <v>24</v>
      </c>
      <c r="AB1" s="3" t="s">
        <v>25</v>
      </c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>
      <c r="A2" s="3">
        <v>641</v>
      </c>
      <c r="B2" s="3">
        <v>1</v>
      </c>
      <c r="C2" s="3" t="s">
        <v>625</v>
      </c>
      <c r="D2" s="3">
        <v>2015</v>
      </c>
      <c r="E2" s="3" t="s">
        <v>626</v>
      </c>
      <c r="F2" s="3" t="s">
        <v>212</v>
      </c>
      <c r="G2" s="3" t="s">
        <v>627</v>
      </c>
      <c r="H2" s="3" t="s">
        <v>627</v>
      </c>
      <c r="I2" s="3" t="s">
        <v>28</v>
      </c>
      <c r="J2" s="3" t="s">
        <v>29</v>
      </c>
      <c r="K2" s="3" t="s">
        <v>50</v>
      </c>
      <c r="L2" s="3">
        <v>3199</v>
      </c>
      <c r="M2" s="3"/>
      <c r="N2" s="3" t="s">
        <v>31</v>
      </c>
      <c r="O2" s="3"/>
      <c r="P2" s="3" t="s">
        <v>240</v>
      </c>
      <c r="Q2" s="3" t="s">
        <v>628</v>
      </c>
      <c r="R2" s="3" t="s">
        <v>33</v>
      </c>
      <c r="S2" s="3"/>
      <c r="T2" s="3" t="s">
        <v>187</v>
      </c>
      <c r="U2" s="3">
        <v>7</v>
      </c>
      <c r="V2" s="3" t="s">
        <v>35</v>
      </c>
      <c r="W2" s="3" t="s">
        <v>629</v>
      </c>
      <c r="X2" s="3" t="s">
        <v>630</v>
      </c>
      <c r="Y2" s="3" t="s">
        <v>38</v>
      </c>
      <c r="Z2" s="3">
        <v>1.46</v>
      </c>
      <c r="AA2" s="3">
        <v>1.01</v>
      </c>
      <c r="AB2" s="3">
        <v>2.1</v>
      </c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</row>
    <row r="3" spans="1:126">
      <c r="A3" s="3">
        <v>641</v>
      </c>
      <c r="B3" s="3">
        <v>2</v>
      </c>
      <c r="C3" s="3"/>
      <c r="D3" s="3">
        <v>2015</v>
      </c>
      <c r="E3" s="3"/>
      <c r="F3" s="3" t="s">
        <v>365</v>
      </c>
      <c r="G3" s="3" t="s">
        <v>627</v>
      </c>
      <c r="H3" s="3" t="s">
        <v>627</v>
      </c>
      <c r="I3" s="3" t="s">
        <v>28</v>
      </c>
      <c r="J3" s="3" t="s">
        <v>29</v>
      </c>
      <c r="K3" s="3" t="s">
        <v>50</v>
      </c>
      <c r="L3" s="3"/>
      <c r="M3" s="3"/>
      <c r="N3" s="3" t="s">
        <v>31</v>
      </c>
      <c r="O3" s="3"/>
      <c r="P3" s="3"/>
      <c r="Q3" s="3" t="s">
        <v>628</v>
      </c>
      <c r="R3" s="3" t="s">
        <v>33</v>
      </c>
      <c r="S3" s="3"/>
      <c r="T3" s="3" t="s">
        <v>187</v>
      </c>
      <c r="U3" s="3">
        <v>7</v>
      </c>
      <c r="V3" s="3" t="s">
        <v>35</v>
      </c>
      <c r="W3" s="3" t="s">
        <v>629</v>
      </c>
      <c r="X3" s="3" t="s">
        <v>630</v>
      </c>
      <c r="Y3" s="3" t="s">
        <v>38</v>
      </c>
      <c r="Z3" s="3">
        <v>0.93</v>
      </c>
      <c r="AA3" s="3">
        <v>0.72</v>
      </c>
      <c r="AB3" s="3">
        <v>1.21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</row>
    <row r="4" spans="1:126">
      <c r="A4" s="3">
        <v>1163</v>
      </c>
      <c r="B4" s="3">
        <v>1</v>
      </c>
      <c r="C4" s="3"/>
      <c r="D4" s="3"/>
      <c r="E4" s="3"/>
      <c r="F4" s="3" t="s">
        <v>251</v>
      </c>
      <c r="G4" s="3" t="s">
        <v>159</v>
      </c>
      <c r="H4" s="3" t="s">
        <v>159</v>
      </c>
      <c r="I4" s="3" t="s">
        <v>28</v>
      </c>
      <c r="J4" s="3" t="s">
        <v>49</v>
      </c>
      <c r="K4" s="3" t="s">
        <v>30</v>
      </c>
      <c r="L4" s="3" t="s">
        <v>101</v>
      </c>
      <c r="M4" s="3" t="s">
        <v>101</v>
      </c>
      <c r="N4" s="3" t="s">
        <v>31</v>
      </c>
      <c r="O4" s="3" t="s">
        <v>631</v>
      </c>
      <c r="P4" s="3" t="s">
        <v>632</v>
      </c>
      <c r="Q4" s="3" t="s">
        <v>633</v>
      </c>
      <c r="R4" s="3" t="s">
        <v>33</v>
      </c>
      <c r="S4" s="3" t="s">
        <v>261</v>
      </c>
      <c r="T4" s="3" t="s">
        <v>133</v>
      </c>
      <c r="U4" s="3">
        <v>14</v>
      </c>
      <c r="V4" s="3" t="s">
        <v>35</v>
      </c>
      <c r="W4" s="3" t="s">
        <v>634</v>
      </c>
      <c r="X4" s="3" t="s">
        <v>630</v>
      </c>
      <c r="Y4" s="3" t="s">
        <v>38</v>
      </c>
      <c r="Z4" s="3">
        <v>1.28</v>
      </c>
      <c r="AA4" s="3">
        <v>0.85</v>
      </c>
      <c r="AB4" s="3">
        <v>1.92</v>
      </c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</row>
    <row r="5" spans="1:126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</row>
    <row r="6" spans="1:12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</row>
    <row r="7" spans="1:126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</row>
    <row r="8" spans="1:126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</row>
    <row r="9" spans="1:126"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</row>
    <row r="10" spans="1:126"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</row>
    <row r="11" spans="1:126"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</row>
    <row r="12" spans="1:126"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</row>
  </sheetData>
  <autoFilter xmlns:etc="http://www.wps.cn/officeDocument/2017/etCustomData" ref="A1:AB4" etc:filterBottomFollowUsedRange="0">
    <extLst/>
  </autoFilter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29"/>
  <sheetViews>
    <sheetView workbookViewId="0">
      <pane xSplit="1" topLeftCell="B1" activePane="topRight" state="frozen"/>
      <selection/>
      <selection pane="topRight" activeCell="C13" sqref="C13"/>
    </sheetView>
  </sheetViews>
  <sheetFormatPr defaultColWidth="9.02654867256637" defaultRowHeight="13.85"/>
  <cols>
    <col min="1" max="6" width="9.02654867256637" style="5"/>
    <col min="7" max="7" width="24.8938053097345" style="5" customWidth="1"/>
    <col min="8" max="10" width="9.02654867256637" style="5"/>
    <col min="11" max="11" width="19.0176991150442" style="5" customWidth="1"/>
    <col min="12" max="16" width="9.02654867256637" style="5"/>
    <col min="17" max="17" width="58.2743362831858" style="5" customWidth="1"/>
    <col min="18" max="22" width="9.02654867256637" style="5"/>
    <col min="23" max="23" width="39.5663716814159" style="5" customWidth="1"/>
    <col min="24" max="16384" width="9.02654867256637" style="5"/>
  </cols>
  <sheetData>
    <row r="1" ht="13.9" spans="1:3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12" t="s">
        <v>19</v>
      </c>
      <c r="V1" s="2" t="s">
        <v>20</v>
      </c>
      <c r="W1" s="2" t="s">
        <v>21</v>
      </c>
      <c r="X1" s="2"/>
      <c r="Y1" s="2" t="s">
        <v>22</v>
      </c>
      <c r="Z1" s="2" t="s">
        <v>23</v>
      </c>
      <c r="AA1" s="2" t="s">
        <v>24</v>
      </c>
      <c r="AB1" s="2" t="s">
        <v>25</v>
      </c>
      <c r="AC1" s="2"/>
      <c r="AD1" s="2"/>
      <c r="AE1" s="2"/>
      <c r="AF1" s="2"/>
      <c r="AG1" s="2"/>
      <c r="AH1" s="2"/>
      <c r="AI1" s="2"/>
      <c r="AJ1" s="2"/>
    </row>
    <row r="2" spans="1:36">
      <c r="A2" s="2">
        <v>262</v>
      </c>
      <c r="B2" s="2">
        <v>1</v>
      </c>
      <c r="C2" s="2" t="s">
        <v>635</v>
      </c>
      <c r="D2" s="2">
        <v>2017</v>
      </c>
      <c r="E2" s="2" t="s">
        <v>636</v>
      </c>
      <c r="F2" s="2" t="s">
        <v>26</v>
      </c>
      <c r="G2" s="2" t="s">
        <v>143</v>
      </c>
      <c r="H2" s="2" t="s">
        <v>143</v>
      </c>
      <c r="I2" s="2" t="s">
        <v>48</v>
      </c>
      <c r="J2" s="2" t="s">
        <v>29</v>
      </c>
      <c r="K2" s="2" t="s">
        <v>50</v>
      </c>
      <c r="L2" s="2">
        <v>18603</v>
      </c>
      <c r="M2" s="2">
        <v>0.483</v>
      </c>
      <c r="N2" s="2" t="s">
        <v>41</v>
      </c>
      <c r="O2" s="2"/>
      <c r="P2" s="2" t="s">
        <v>637</v>
      </c>
      <c r="Q2" s="2" t="s">
        <v>638</v>
      </c>
      <c r="R2" s="2" t="s">
        <v>33</v>
      </c>
      <c r="S2" s="2"/>
      <c r="T2" s="2">
        <v>0</v>
      </c>
      <c r="U2" s="2">
        <v>0</v>
      </c>
      <c r="V2" s="2" t="s">
        <v>139</v>
      </c>
      <c r="W2" s="2" t="s">
        <v>639</v>
      </c>
      <c r="X2" s="2" t="s">
        <v>640</v>
      </c>
      <c r="Y2" s="2" t="s">
        <v>641</v>
      </c>
      <c r="Z2" s="2">
        <v>1.11</v>
      </c>
      <c r="AA2" s="2">
        <v>1.04</v>
      </c>
      <c r="AB2" s="2">
        <v>1.2</v>
      </c>
      <c r="AC2" s="2"/>
      <c r="AD2" s="2"/>
      <c r="AE2" s="2"/>
      <c r="AF2" s="2"/>
      <c r="AG2" s="2"/>
      <c r="AH2" s="2"/>
      <c r="AI2" s="2"/>
      <c r="AJ2" s="2"/>
    </row>
    <row r="3" spans="1:36">
      <c r="A3" s="2">
        <v>262</v>
      </c>
      <c r="B3" s="2">
        <v>2</v>
      </c>
      <c r="C3" s="2"/>
      <c r="D3" s="2">
        <v>2017</v>
      </c>
      <c r="E3" s="2"/>
      <c r="F3" s="2" t="s">
        <v>26</v>
      </c>
      <c r="G3" s="2" t="s">
        <v>143</v>
      </c>
      <c r="H3" s="2" t="s">
        <v>143</v>
      </c>
      <c r="I3" s="2" t="s">
        <v>48</v>
      </c>
      <c r="J3" s="2" t="s">
        <v>29</v>
      </c>
      <c r="K3" s="2" t="s">
        <v>50</v>
      </c>
      <c r="L3" s="2"/>
      <c r="M3" s="2">
        <v>0.483</v>
      </c>
      <c r="N3" s="2" t="s">
        <v>41</v>
      </c>
      <c r="O3" s="2"/>
      <c r="P3" s="2" t="s">
        <v>637</v>
      </c>
      <c r="Q3" s="2" t="s">
        <v>638</v>
      </c>
      <c r="R3" s="2" t="s">
        <v>33</v>
      </c>
      <c r="S3" s="2"/>
      <c r="T3" s="2">
        <v>1</v>
      </c>
      <c r="U3" s="2">
        <v>1</v>
      </c>
      <c r="V3" s="2" t="s">
        <v>139</v>
      </c>
      <c r="W3" s="2" t="s">
        <v>639</v>
      </c>
      <c r="X3" s="2" t="s">
        <v>640</v>
      </c>
      <c r="Y3" s="2" t="s">
        <v>641</v>
      </c>
      <c r="Z3" s="2">
        <v>1.16</v>
      </c>
      <c r="AA3" s="2">
        <v>1.08</v>
      </c>
      <c r="AB3" s="2">
        <v>1.25</v>
      </c>
      <c r="AC3" s="2"/>
      <c r="AD3" s="2"/>
      <c r="AE3" s="2"/>
      <c r="AF3" s="2"/>
      <c r="AG3" s="2"/>
      <c r="AH3" s="2"/>
      <c r="AI3" s="2"/>
      <c r="AJ3" s="2"/>
    </row>
    <row r="4" spans="1:36">
      <c r="A4" s="2">
        <v>262</v>
      </c>
      <c r="B4" s="2">
        <v>3</v>
      </c>
      <c r="C4" s="2"/>
      <c r="D4" s="2">
        <v>2017</v>
      </c>
      <c r="E4" s="2"/>
      <c r="F4" s="2" t="s">
        <v>26</v>
      </c>
      <c r="G4" s="2" t="s">
        <v>143</v>
      </c>
      <c r="H4" s="2" t="s">
        <v>143</v>
      </c>
      <c r="I4" s="2" t="s">
        <v>48</v>
      </c>
      <c r="J4" s="2" t="s">
        <v>29</v>
      </c>
      <c r="K4" s="2" t="s">
        <v>50</v>
      </c>
      <c r="L4" s="2"/>
      <c r="M4" s="2">
        <v>0.483</v>
      </c>
      <c r="N4" s="2" t="s">
        <v>41</v>
      </c>
      <c r="O4" s="2"/>
      <c r="P4" s="2" t="s">
        <v>637</v>
      </c>
      <c r="Q4" s="2" t="s">
        <v>638</v>
      </c>
      <c r="R4" s="2" t="s">
        <v>33</v>
      </c>
      <c r="S4" s="2"/>
      <c r="T4" s="2">
        <v>2</v>
      </c>
      <c r="U4" s="2">
        <v>2</v>
      </c>
      <c r="V4" s="2" t="s">
        <v>139</v>
      </c>
      <c r="W4" s="2" t="s">
        <v>639</v>
      </c>
      <c r="X4" s="2" t="s">
        <v>640</v>
      </c>
      <c r="Y4" s="2" t="s">
        <v>146</v>
      </c>
      <c r="Z4" s="2">
        <v>1.18</v>
      </c>
      <c r="AA4" s="2">
        <v>1.1</v>
      </c>
      <c r="AB4" s="2">
        <v>1.26</v>
      </c>
      <c r="AC4" s="2"/>
      <c r="AD4" s="2"/>
      <c r="AE4" s="2"/>
      <c r="AF4" s="2"/>
      <c r="AG4" s="2"/>
      <c r="AH4" s="2"/>
      <c r="AI4" s="2"/>
      <c r="AJ4" s="2"/>
    </row>
    <row r="5" spans="1:36">
      <c r="A5" s="2">
        <v>340</v>
      </c>
      <c r="B5" s="2">
        <v>1</v>
      </c>
      <c r="C5" s="2" t="s">
        <v>642</v>
      </c>
      <c r="D5" s="2">
        <v>2024</v>
      </c>
      <c r="E5" s="2" t="s">
        <v>643</v>
      </c>
      <c r="F5" s="2" t="s">
        <v>181</v>
      </c>
      <c r="G5" s="2" t="s">
        <v>644</v>
      </c>
      <c r="H5" s="2" t="s">
        <v>644</v>
      </c>
      <c r="I5" s="2" t="s">
        <v>129</v>
      </c>
      <c r="J5" s="2" t="s">
        <v>330</v>
      </c>
      <c r="K5" s="2" t="s">
        <v>50</v>
      </c>
      <c r="L5" s="2" t="s">
        <v>645</v>
      </c>
      <c r="M5" s="2" t="s">
        <v>101</v>
      </c>
      <c r="N5" s="2" t="s">
        <v>41</v>
      </c>
      <c r="O5" s="2"/>
      <c r="P5" s="2" t="s">
        <v>646</v>
      </c>
      <c r="Q5" s="2" t="s">
        <v>647</v>
      </c>
      <c r="R5" s="2" t="s">
        <v>33</v>
      </c>
      <c r="S5" s="2"/>
      <c r="T5" s="2" t="s">
        <v>63</v>
      </c>
      <c r="U5" s="2">
        <v>3.5</v>
      </c>
      <c r="V5" s="2" t="s">
        <v>35</v>
      </c>
      <c r="W5" s="2" t="s">
        <v>648</v>
      </c>
      <c r="X5" s="2" t="s">
        <v>640</v>
      </c>
      <c r="Y5" s="2" t="s">
        <v>146</v>
      </c>
      <c r="Z5" s="2">
        <v>0.98</v>
      </c>
      <c r="AA5" s="2">
        <v>0.85</v>
      </c>
      <c r="AB5" s="2">
        <v>1.15</v>
      </c>
      <c r="AC5" s="2"/>
      <c r="AD5" s="2"/>
      <c r="AE5" s="2"/>
      <c r="AF5" s="2"/>
      <c r="AG5" s="2"/>
      <c r="AH5" s="2"/>
      <c r="AI5" s="2"/>
      <c r="AJ5" s="2"/>
    </row>
    <row r="6" spans="1:36">
      <c r="A6" s="2">
        <v>340</v>
      </c>
      <c r="B6" s="2">
        <v>2</v>
      </c>
      <c r="C6" s="2"/>
      <c r="D6" s="2">
        <v>2024</v>
      </c>
      <c r="E6" s="2"/>
      <c r="F6" s="2" t="s">
        <v>181</v>
      </c>
      <c r="G6" s="2" t="s">
        <v>644</v>
      </c>
      <c r="H6" s="2" t="s">
        <v>644</v>
      </c>
      <c r="I6" s="2" t="s">
        <v>129</v>
      </c>
      <c r="J6" s="2" t="s">
        <v>330</v>
      </c>
      <c r="K6" s="2" t="s">
        <v>50</v>
      </c>
      <c r="L6" s="2" t="s">
        <v>645</v>
      </c>
      <c r="M6" s="2" t="s">
        <v>101</v>
      </c>
      <c r="N6" s="2" t="s">
        <v>41</v>
      </c>
      <c r="O6" s="2"/>
      <c r="P6" s="2" t="s">
        <v>646</v>
      </c>
      <c r="Q6" s="2" t="s">
        <v>649</v>
      </c>
      <c r="R6" s="2" t="s">
        <v>33</v>
      </c>
      <c r="S6" s="2"/>
      <c r="T6" s="2" t="s">
        <v>63</v>
      </c>
      <c r="U6" s="2">
        <v>3.5</v>
      </c>
      <c r="V6" s="2" t="s">
        <v>35</v>
      </c>
      <c r="W6" s="2" t="s">
        <v>648</v>
      </c>
      <c r="X6" s="2" t="s">
        <v>640</v>
      </c>
      <c r="Y6" s="2" t="s">
        <v>146</v>
      </c>
      <c r="Z6" s="2">
        <v>1.21</v>
      </c>
      <c r="AA6" s="2">
        <v>1.02</v>
      </c>
      <c r="AB6" s="2">
        <v>1.48</v>
      </c>
      <c r="AC6" s="2"/>
      <c r="AD6" s="2"/>
      <c r="AE6" s="2"/>
      <c r="AF6" s="2"/>
      <c r="AG6" s="2"/>
      <c r="AH6" s="2"/>
      <c r="AI6" s="2"/>
      <c r="AJ6" s="2"/>
    </row>
    <row r="7" spans="1:36">
      <c r="A7" s="2">
        <v>340</v>
      </c>
      <c r="B7" s="2">
        <v>3</v>
      </c>
      <c r="C7" s="2"/>
      <c r="D7" s="2">
        <v>2024</v>
      </c>
      <c r="E7" s="2"/>
      <c r="F7" s="2" t="s">
        <v>181</v>
      </c>
      <c r="G7" s="2" t="s">
        <v>644</v>
      </c>
      <c r="H7" s="2" t="s">
        <v>644</v>
      </c>
      <c r="I7" s="2" t="s">
        <v>129</v>
      </c>
      <c r="J7" s="2" t="s">
        <v>330</v>
      </c>
      <c r="K7" s="2" t="s">
        <v>50</v>
      </c>
      <c r="L7" s="2" t="s">
        <v>650</v>
      </c>
      <c r="M7" s="2" t="s">
        <v>101</v>
      </c>
      <c r="N7" s="2" t="s">
        <v>41</v>
      </c>
      <c r="O7" s="2"/>
      <c r="P7" s="2" t="s">
        <v>646</v>
      </c>
      <c r="Q7" s="2" t="s">
        <v>651</v>
      </c>
      <c r="R7" s="2" t="s">
        <v>33</v>
      </c>
      <c r="S7" s="2"/>
      <c r="T7" s="2" t="s">
        <v>63</v>
      </c>
      <c r="U7" s="2">
        <v>3.5</v>
      </c>
      <c r="V7" s="2" t="s">
        <v>35</v>
      </c>
      <c r="W7" s="2" t="s">
        <v>652</v>
      </c>
      <c r="X7" s="2" t="s">
        <v>640</v>
      </c>
      <c r="Y7" s="2" t="s">
        <v>146</v>
      </c>
      <c r="Z7" s="2">
        <v>0.99</v>
      </c>
      <c r="AA7" s="2">
        <v>0.91</v>
      </c>
      <c r="AB7" s="2">
        <v>1.09</v>
      </c>
      <c r="AC7" s="2"/>
      <c r="AD7" s="2"/>
      <c r="AE7" s="2"/>
      <c r="AF7" s="2"/>
      <c r="AG7" s="2"/>
      <c r="AH7" s="2"/>
      <c r="AI7" s="2"/>
      <c r="AJ7" s="2"/>
    </row>
    <row r="8" spans="1:36">
      <c r="A8" s="2">
        <v>340</v>
      </c>
      <c r="B8" s="2">
        <v>4</v>
      </c>
      <c r="C8" s="2"/>
      <c r="D8" s="2">
        <v>2024</v>
      </c>
      <c r="E8" s="2"/>
      <c r="F8" s="2" t="s">
        <v>181</v>
      </c>
      <c r="G8" s="2" t="s">
        <v>644</v>
      </c>
      <c r="H8" s="2" t="s">
        <v>644</v>
      </c>
      <c r="I8" s="2" t="s">
        <v>129</v>
      </c>
      <c r="J8" s="2" t="s">
        <v>330</v>
      </c>
      <c r="K8" s="2" t="s">
        <v>50</v>
      </c>
      <c r="L8" s="2" t="s">
        <v>650</v>
      </c>
      <c r="M8" s="2" t="s">
        <v>101</v>
      </c>
      <c r="N8" s="2" t="s">
        <v>41</v>
      </c>
      <c r="O8" s="2"/>
      <c r="P8" s="2" t="s">
        <v>646</v>
      </c>
      <c r="Q8" s="2" t="s">
        <v>651</v>
      </c>
      <c r="R8" s="2" t="s">
        <v>33</v>
      </c>
      <c r="S8" s="2"/>
      <c r="T8" s="2" t="s">
        <v>63</v>
      </c>
      <c r="U8" s="2">
        <v>3.5</v>
      </c>
      <c r="V8" s="2" t="s">
        <v>35</v>
      </c>
      <c r="W8" s="2" t="s">
        <v>652</v>
      </c>
      <c r="X8" s="2" t="s">
        <v>640</v>
      </c>
      <c r="Y8" s="2" t="s">
        <v>146</v>
      </c>
      <c r="Z8" s="2">
        <v>1.32</v>
      </c>
      <c r="AA8" s="2">
        <v>1.16</v>
      </c>
      <c r="AB8" s="2">
        <v>1.49</v>
      </c>
      <c r="AC8" s="2"/>
      <c r="AD8" s="2"/>
      <c r="AE8" s="2"/>
      <c r="AF8" s="2"/>
      <c r="AG8" s="2"/>
      <c r="AH8" s="2"/>
      <c r="AI8" s="2"/>
      <c r="AJ8" s="2"/>
    </row>
    <row r="9" spans="1:36">
      <c r="A9" s="2">
        <v>467</v>
      </c>
      <c r="B9" s="2">
        <v>1</v>
      </c>
      <c r="C9" s="2"/>
      <c r="D9" s="2">
        <v>2021</v>
      </c>
      <c r="E9" s="2"/>
      <c r="F9" s="2" t="s">
        <v>26</v>
      </c>
      <c r="G9" s="2" t="s">
        <v>493</v>
      </c>
      <c r="H9" s="2" t="s">
        <v>493</v>
      </c>
      <c r="I9" s="2" t="s">
        <v>28</v>
      </c>
      <c r="J9" s="2" t="s">
        <v>29</v>
      </c>
      <c r="K9" s="2" t="s">
        <v>30</v>
      </c>
      <c r="L9" s="2">
        <v>41193</v>
      </c>
      <c r="M9" s="2" t="s">
        <v>101</v>
      </c>
      <c r="N9" s="2" t="s">
        <v>31</v>
      </c>
      <c r="O9" s="2"/>
      <c r="P9" s="2" t="s">
        <v>653</v>
      </c>
      <c r="Q9" s="2" t="s">
        <v>654</v>
      </c>
      <c r="R9" s="2" t="s">
        <v>33</v>
      </c>
      <c r="S9" s="2"/>
      <c r="T9" s="2" t="s">
        <v>485</v>
      </c>
      <c r="U9" s="2">
        <v>5</v>
      </c>
      <c r="V9" s="2" t="s">
        <v>35</v>
      </c>
      <c r="W9" s="2" t="s">
        <v>655</v>
      </c>
      <c r="X9" s="2" t="s">
        <v>640</v>
      </c>
      <c r="Y9" s="2" t="s">
        <v>38</v>
      </c>
      <c r="Z9" s="2">
        <v>0.98</v>
      </c>
      <c r="AA9" s="2">
        <v>0.91</v>
      </c>
      <c r="AB9" s="2">
        <v>1.05</v>
      </c>
      <c r="AC9" s="2"/>
      <c r="AD9" s="2"/>
      <c r="AE9" s="2"/>
      <c r="AF9" s="2"/>
      <c r="AG9" s="2"/>
      <c r="AH9" s="2"/>
      <c r="AI9" s="2"/>
      <c r="AJ9" s="2"/>
    </row>
    <row r="10" spans="1:36">
      <c r="A10" s="2">
        <v>467</v>
      </c>
      <c r="B10" s="2">
        <v>2</v>
      </c>
      <c r="C10" s="2"/>
      <c r="D10" s="2">
        <v>2021</v>
      </c>
      <c r="E10" s="2"/>
      <c r="F10" s="2" t="s">
        <v>26</v>
      </c>
      <c r="G10" s="2" t="s">
        <v>493</v>
      </c>
      <c r="H10" s="2" t="s">
        <v>493</v>
      </c>
      <c r="I10" s="2" t="s">
        <v>28</v>
      </c>
      <c r="J10" s="2" t="s">
        <v>29</v>
      </c>
      <c r="K10" s="2" t="s">
        <v>30</v>
      </c>
      <c r="L10" s="2">
        <v>6475</v>
      </c>
      <c r="M10" s="2" t="s">
        <v>101</v>
      </c>
      <c r="N10" s="2" t="s">
        <v>31</v>
      </c>
      <c r="O10" s="2"/>
      <c r="P10" s="2" t="s">
        <v>653</v>
      </c>
      <c r="Q10" s="2" t="s">
        <v>654</v>
      </c>
      <c r="R10" s="2" t="s">
        <v>33</v>
      </c>
      <c r="S10" s="2"/>
      <c r="T10" s="2" t="s">
        <v>485</v>
      </c>
      <c r="U10" s="2">
        <v>5</v>
      </c>
      <c r="V10" s="2" t="s">
        <v>35</v>
      </c>
      <c r="W10" s="2" t="s">
        <v>656</v>
      </c>
      <c r="X10" s="2" t="s">
        <v>640</v>
      </c>
      <c r="Y10" s="2" t="s">
        <v>38</v>
      </c>
      <c r="Z10" s="2">
        <v>0.85</v>
      </c>
      <c r="AA10" s="2">
        <v>0.58</v>
      </c>
      <c r="AB10" s="2">
        <v>1.25</v>
      </c>
      <c r="AC10" s="2"/>
      <c r="AD10" s="2"/>
      <c r="AE10" s="2"/>
      <c r="AF10" s="2"/>
      <c r="AG10" s="2"/>
      <c r="AH10" s="2"/>
      <c r="AI10" s="2"/>
      <c r="AJ10" s="2"/>
    </row>
    <row r="11" spans="1:36">
      <c r="A11" s="2">
        <v>523</v>
      </c>
      <c r="B11" s="2">
        <v>1</v>
      </c>
      <c r="C11" s="2"/>
      <c r="D11" s="2">
        <v>2018</v>
      </c>
      <c r="E11" s="2"/>
      <c r="F11" s="2" t="s">
        <v>26</v>
      </c>
      <c r="G11" s="2" t="s">
        <v>39</v>
      </c>
      <c r="H11" s="2" t="s">
        <v>39</v>
      </c>
      <c r="I11" s="2" t="s">
        <v>28</v>
      </c>
      <c r="J11" s="2" t="s">
        <v>40</v>
      </c>
      <c r="K11" s="2" t="s">
        <v>30</v>
      </c>
      <c r="L11" s="2"/>
      <c r="M11" s="2"/>
      <c r="N11" s="2" t="s">
        <v>31</v>
      </c>
      <c r="O11" s="2"/>
      <c r="P11" s="2"/>
      <c r="Q11" s="2" t="s">
        <v>657</v>
      </c>
      <c r="R11" s="2" t="s">
        <v>33</v>
      </c>
      <c r="S11" s="2"/>
      <c r="T11" s="2" t="s">
        <v>63</v>
      </c>
      <c r="U11" s="2">
        <v>3.5</v>
      </c>
      <c r="V11" s="2" t="s">
        <v>35</v>
      </c>
      <c r="W11" s="2" t="s">
        <v>658</v>
      </c>
      <c r="X11" s="2" t="s">
        <v>640</v>
      </c>
      <c r="Y11" s="2" t="s">
        <v>38</v>
      </c>
      <c r="Z11" s="2">
        <v>1.02</v>
      </c>
      <c r="AA11" s="2">
        <v>0.92</v>
      </c>
      <c r="AB11" s="2">
        <v>1.12</v>
      </c>
      <c r="AC11" s="2"/>
      <c r="AD11" s="2"/>
      <c r="AE11" s="2"/>
      <c r="AF11" s="2"/>
      <c r="AG11" s="2"/>
      <c r="AH11" s="2"/>
      <c r="AI11" s="2"/>
      <c r="AJ11" s="2"/>
    </row>
    <row r="12" spans="1:36">
      <c r="A12" s="2">
        <v>523</v>
      </c>
      <c r="B12" s="2">
        <v>2</v>
      </c>
      <c r="C12" s="2"/>
      <c r="D12" s="2">
        <v>2018</v>
      </c>
      <c r="E12" s="2"/>
      <c r="F12" s="2" t="s">
        <v>26</v>
      </c>
      <c r="G12" s="2" t="s">
        <v>39</v>
      </c>
      <c r="H12" s="2" t="s">
        <v>39</v>
      </c>
      <c r="I12" s="2" t="s">
        <v>28</v>
      </c>
      <c r="J12" s="2" t="s">
        <v>40</v>
      </c>
      <c r="K12" s="2" t="s">
        <v>30</v>
      </c>
      <c r="L12" s="2"/>
      <c r="M12" s="2"/>
      <c r="N12" s="2" t="s">
        <v>31</v>
      </c>
      <c r="O12" s="2"/>
      <c r="P12" s="2"/>
      <c r="Q12" s="2" t="s">
        <v>657</v>
      </c>
      <c r="R12" s="2" t="s">
        <v>33</v>
      </c>
      <c r="S12" s="2"/>
      <c r="T12" s="2" t="s">
        <v>120</v>
      </c>
      <c r="U12" s="2">
        <v>1.5</v>
      </c>
      <c r="V12" s="2" t="s">
        <v>35</v>
      </c>
      <c r="W12" s="2" t="s">
        <v>659</v>
      </c>
      <c r="X12" s="2" t="s">
        <v>640</v>
      </c>
      <c r="Y12" s="2" t="s">
        <v>38</v>
      </c>
      <c r="Z12" s="2">
        <v>0.97</v>
      </c>
      <c r="AA12" s="2">
        <v>0.84</v>
      </c>
      <c r="AB12" s="2">
        <v>1.11</v>
      </c>
      <c r="AC12" s="2"/>
      <c r="AD12" s="2"/>
      <c r="AE12" s="2"/>
      <c r="AF12" s="2"/>
      <c r="AG12" s="2"/>
      <c r="AH12" s="2"/>
      <c r="AI12" s="2"/>
      <c r="AJ12" s="2"/>
    </row>
    <row r="13" spans="1:36">
      <c r="A13" s="2">
        <v>950</v>
      </c>
      <c r="B13" s="2">
        <v>1</v>
      </c>
      <c r="C13" s="2" t="s">
        <v>660</v>
      </c>
      <c r="D13" s="2">
        <v>2021</v>
      </c>
      <c r="E13" s="2" t="s">
        <v>661</v>
      </c>
      <c r="F13" s="2" t="s">
        <v>26</v>
      </c>
      <c r="G13" s="2" t="s">
        <v>27</v>
      </c>
      <c r="H13" s="2" t="s">
        <v>27</v>
      </c>
      <c r="I13" s="2" t="s">
        <v>28</v>
      </c>
      <c r="J13" s="2" t="s">
        <v>29</v>
      </c>
      <c r="K13" s="2" t="s">
        <v>30</v>
      </c>
      <c r="L13" s="2" t="s">
        <v>160</v>
      </c>
      <c r="M13" s="2" t="s">
        <v>101</v>
      </c>
      <c r="N13" s="2" t="s">
        <v>41</v>
      </c>
      <c r="O13" s="2"/>
      <c r="P13" s="2" t="s">
        <v>662</v>
      </c>
      <c r="Q13" s="2" t="s">
        <v>663</v>
      </c>
      <c r="R13" s="2" t="s">
        <v>33</v>
      </c>
      <c r="S13" s="2"/>
      <c r="T13" s="2">
        <v>4</v>
      </c>
      <c r="U13" s="2">
        <v>2</v>
      </c>
      <c r="V13" s="2" t="s">
        <v>35</v>
      </c>
      <c r="W13" s="2"/>
      <c r="X13" s="2" t="s">
        <v>664</v>
      </c>
      <c r="Y13" s="2" t="s">
        <v>38</v>
      </c>
      <c r="Z13" s="2">
        <v>1.16</v>
      </c>
      <c r="AA13" s="2">
        <v>1.06</v>
      </c>
      <c r="AB13" s="2">
        <v>1.27</v>
      </c>
      <c r="AC13" s="2"/>
      <c r="AD13" s="2"/>
      <c r="AE13" s="2"/>
      <c r="AF13" s="2"/>
      <c r="AG13" s="2"/>
      <c r="AH13" s="2"/>
      <c r="AI13" s="2"/>
      <c r="AJ13" s="2"/>
    </row>
    <row r="14" spans="1:36">
      <c r="A14" s="2">
        <v>1169</v>
      </c>
      <c r="B14" s="2">
        <v>1</v>
      </c>
      <c r="C14" s="2"/>
      <c r="D14" s="2"/>
      <c r="E14" s="2"/>
      <c r="F14" s="2" t="s">
        <v>251</v>
      </c>
      <c r="G14" s="2" t="s">
        <v>159</v>
      </c>
      <c r="H14" s="2" t="s">
        <v>159</v>
      </c>
      <c r="I14" s="2" t="s">
        <v>28</v>
      </c>
      <c r="J14" s="2" t="s">
        <v>49</v>
      </c>
      <c r="K14" s="2" t="s">
        <v>30</v>
      </c>
      <c r="L14" s="2">
        <v>24900</v>
      </c>
      <c r="M14" s="2" t="s">
        <v>101</v>
      </c>
      <c r="N14" s="2" t="s">
        <v>31</v>
      </c>
      <c r="O14" s="2" t="s">
        <v>610</v>
      </c>
      <c r="P14" s="2" t="s">
        <v>665</v>
      </c>
      <c r="Q14" s="2" t="s">
        <v>254</v>
      </c>
      <c r="R14" s="2" t="s">
        <v>33</v>
      </c>
      <c r="S14" s="2" t="s">
        <v>261</v>
      </c>
      <c r="T14" s="2" t="s">
        <v>113</v>
      </c>
      <c r="U14" s="2">
        <v>10.5</v>
      </c>
      <c r="V14" s="2" t="s">
        <v>35</v>
      </c>
      <c r="W14" s="2" t="s">
        <v>666</v>
      </c>
      <c r="X14" s="2" t="s">
        <v>664</v>
      </c>
      <c r="Y14" s="2" t="s">
        <v>38</v>
      </c>
      <c r="Z14" s="2">
        <v>0.97</v>
      </c>
      <c r="AA14" s="2">
        <v>0.8</v>
      </c>
      <c r="AB14" s="2">
        <v>1.17</v>
      </c>
      <c r="AC14" s="2"/>
      <c r="AD14" s="2"/>
      <c r="AE14" s="2"/>
      <c r="AF14" s="2"/>
      <c r="AG14" s="2"/>
      <c r="AH14" s="2"/>
      <c r="AI14" s="2"/>
      <c r="AJ14" s="2"/>
    </row>
    <row r="15" s="2" customFormat="1" spans="1:36">
      <c r="A15" s="2">
        <v>642</v>
      </c>
      <c r="B15" s="2">
        <v>1</v>
      </c>
      <c r="C15" s="2" t="s">
        <v>667</v>
      </c>
      <c r="D15" s="2">
        <v>2017</v>
      </c>
      <c r="E15" s="2" t="s">
        <v>626</v>
      </c>
      <c r="F15" s="2" t="s">
        <v>212</v>
      </c>
      <c r="G15" s="2" t="s">
        <v>117</v>
      </c>
      <c r="H15" s="2" t="str">
        <f>VLOOKUP(G15,[1]Sheet1!A:E,2,FALSE)</f>
        <v>Japan</v>
      </c>
      <c r="I15" s="2" t="str">
        <f>VLOOKUP(G15,[1]Sheet1!A:E,3,FALSE)</f>
        <v>Asia</v>
      </c>
      <c r="J15" s="2" t="str">
        <f>VLOOKUP(G15,[1]Sheet1!A:E,4,FALSE)</f>
        <v>Humid Subtropical</v>
      </c>
      <c r="K15" s="2" t="str">
        <f>VLOOKUP(G15,[1]Sheet1!A:E,5,FALSE)</f>
        <v>High income</v>
      </c>
      <c r="L15" s="2">
        <v>130440</v>
      </c>
      <c r="M15" s="2"/>
      <c r="N15" s="2" t="s">
        <v>31</v>
      </c>
      <c r="O15" s="2"/>
      <c r="P15" s="2" t="s">
        <v>240</v>
      </c>
      <c r="Q15" s="2" t="s">
        <v>668</v>
      </c>
      <c r="R15" s="2" t="s">
        <v>33</v>
      </c>
      <c r="S15" s="2"/>
      <c r="T15" s="2" t="s">
        <v>485</v>
      </c>
      <c r="U15" s="2">
        <v>5</v>
      </c>
      <c r="V15" s="2" t="s">
        <v>35</v>
      </c>
      <c r="W15" s="2" t="s">
        <v>669</v>
      </c>
      <c r="X15" s="2" t="s">
        <v>670</v>
      </c>
      <c r="Y15" s="2" t="s">
        <v>38</v>
      </c>
      <c r="Z15" s="2">
        <v>0.95</v>
      </c>
      <c r="AA15" s="2">
        <v>0.78</v>
      </c>
      <c r="AB15" s="2">
        <v>1.16</v>
      </c>
    </row>
    <row r="16" s="2" customFormat="1" spans="1:36">
      <c r="A16" s="2">
        <v>642</v>
      </c>
      <c r="B16" s="2">
        <v>2</v>
      </c>
      <c r="C16" s="2"/>
      <c r="D16" s="2">
        <v>2017</v>
      </c>
      <c r="E16" s="2"/>
      <c r="F16" s="2" t="s">
        <v>671</v>
      </c>
      <c r="G16" s="2" t="s">
        <v>117</v>
      </c>
      <c r="H16" s="2" t="str">
        <f>VLOOKUP(G16,[1]Sheet1!A:E,2,FALSE)</f>
        <v>Japan</v>
      </c>
      <c r="I16" s="2" t="str">
        <f>VLOOKUP(G16,[1]Sheet1!A:E,3,FALSE)</f>
        <v>Asia</v>
      </c>
      <c r="J16" s="2" t="str">
        <f>VLOOKUP(G16,[1]Sheet1!A:E,4,FALSE)</f>
        <v>Humid Subtropical</v>
      </c>
      <c r="K16" s="2" t="str">
        <f>VLOOKUP(G16,[1]Sheet1!A:E,5,FALSE)</f>
        <v>High income</v>
      </c>
      <c r="Q16" s="2" t="s">
        <v>668</v>
      </c>
      <c r="R16" s="2" t="s">
        <v>33</v>
      </c>
      <c r="S16" s="2"/>
      <c r="T16" s="2" t="s">
        <v>485</v>
      </c>
      <c r="U16" s="2">
        <v>5</v>
      </c>
      <c r="V16" s="2" t="s">
        <v>35</v>
      </c>
      <c r="W16" s="2" t="s">
        <v>669</v>
      </c>
      <c r="X16" s="2" t="s">
        <v>670</v>
      </c>
      <c r="Y16" s="2" t="s">
        <v>38</v>
      </c>
      <c r="Z16" s="2">
        <v>1.24</v>
      </c>
      <c r="AA16" s="2">
        <v>1.11</v>
      </c>
      <c r="AB16" s="2">
        <v>1.38</v>
      </c>
    </row>
    <row r="17" spans="1:3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</row>
    <row r="18" spans="1:3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</row>
    <row r="19" spans="1:3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</row>
    <row r="20" spans="1:3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</row>
    <row r="21" spans="1:3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 spans="1:3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</row>
    <row r="23" spans="1:3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</row>
    <row r="24" spans="1:3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 spans="1:3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 spans="1:3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 spans="1:3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 spans="1:3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spans="1:3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</sheetData>
  <autoFilter xmlns:etc="http://www.wps.cn/officeDocument/2017/etCustomData" ref="A1:AB16" etc:filterBottomFollowUsedRange="0">
    <extLst/>
  </autoFilter>
  <hyperlinks>
    <hyperlink ref="E13" r:id="rId3" display="Yasmin Zafirah" tooltip="https://pubmed.ncbi.nlm.nih.gov/?term=Zafirah+Y&amp;cauthor_id=34228742"/>
  </hyperlinks>
  <pageMargins left="0.75" right="0.75" top="1" bottom="1" header="0.5" footer="0.5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9"/>
  <sheetViews>
    <sheetView tabSelected="1" workbookViewId="0">
      <selection activeCell="H1" sqref="H1"/>
    </sheetView>
  </sheetViews>
  <sheetFormatPr defaultColWidth="9.02654867256637" defaultRowHeight="13.5"/>
  <cols>
    <col min="23" max="23" width="33.3274336283186" customWidth="1"/>
  </cols>
  <sheetData>
    <row r="1" ht="13.9" spans="1:2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672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14" t="s">
        <v>19</v>
      </c>
      <c r="V1" s="4" t="s">
        <v>20</v>
      </c>
      <c r="W1" s="4" t="s">
        <v>21</v>
      </c>
      <c r="X1" s="4"/>
      <c r="Y1" s="4" t="s">
        <v>22</v>
      </c>
      <c r="Z1" s="4" t="s">
        <v>23</v>
      </c>
      <c r="AA1" s="4" t="s">
        <v>24</v>
      </c>
      <c r="AB1" s="4" t="s">
        <v>25</v>
      </c>
    </row>
    <row r="2" ht="13.85" spans="1:28">
      <c r="A2" s="4">
        <v>1087</v>
      </c>
      <c r="B2" s="4">
        <v>1</v>
      </c>
      <c r="C2" s="4" t="s">
        <v>673</v>
      </c>
      <c r="D2" s="4" t="s">
        <v>674</v>
      </c>
      <c r="E2" s="4"/>
      <c r="F2" s="4" t="s">
        <v>675</v>
      </c>
      <c r="G2" s="4" t="s">
        <v>350</v>
      </c>
      <c r="H2" s="4" t="s">
        <v>350</v>
      </c>
      <c r="I2" s="4" t="s">
        <v>129</v>
      </c>
      <c r="J2" s="4" t="s">
        <v>130</v>
      </c>
      <c r="K2" s="4" t="s">
        <v>50</v>
      </c>
      <c r="L2" s="4">
        <v>71211</v>
      </c>
      <c r="M2" s="4" t="s">
        <v>101</v>
      </c>
      <c r="N2" s="4" t="s">
        <v>31</v>
      </c>
      <c r="O2" s="4" t="s">
        <v>676</v>
      </c>
      <c r="P2" s="4" t="s">
        <v>677</v>
      </c>
      <c r="Q2" s="4" t="s">
        <v>612</v>
      </c>
      <c r="R2" s="4" t="s">
        <v>33</v>
      </c>
      <c r="S2" s="4" t="s">
        <v>678</v>
      </c>
      <c r="T2" s="4" t="s">
        <v>485</v>
      </c>
      <c r="U2" s="4">
        <v>5</v>
      </c>
      <c r="V2" s="4" t="s">
        <v>35</v>
      </c>
      <c r="W2" s="4" t="s">
        <v>679</v>
      </c>
      <c r="X2" s="4" t="s">
        <v>680</v>
      </c>
      <c r="Y2" s="4" t="s">
        <v>38</v>
      </c>
      <c r="Z2" s="4">
        <v>1.53</v>
      </c>
      <c r="AA2" s="4">
        <v>1.2</v>
      </c>
      <c r="AB2" s="4">
        <v>1.94</v>
      </c>
    </row>
    <row r="3" ht="13.85" spans="1:28">
      <c r="A3" s="4">
        <v>1087</v>
      </c>
      <c r="B3" s="4">
        <v>2</v>
      </c>
      <c r="C3" s="4"/>
      <c r="D3" s="4"/>
      <c r="E3" s="4"/>
      <c r="F3" s="4" t="s">
        <v>675</v>
      </c>
      <c r="G3" s="4" t="s">
        <v>350</v>
      </c>
      <c r="H3" s="4" t="s">
        <v>350</v>
      </c>
      <c r="I3" s="4" t="s">
        <v>129</v>
      </c>
      <c r="J3" s="4" t="s">
        <v>130</v>
      </c>
      <c r="K3" s="4" t="s">
        <v>50</v>
      </c>
      <c r="L3" s="4">
        <v>281420</v>
      </c>
      <c r="M3" s="4" t="s">
        <v>101</v>
      </c>
      <c r="N3" s="4" t="s">
        <v>31</v>
      </c>
      <c r="O3" s="4" t="s">
        <v>676</v>
      </c>
      <c r="P3" s="4" t="s">
        <v>677</v>
      </c>
      <c r="Q3" s="4" t="s">
        <v>612</v>
      </c>
      <c r="R3" s="4" t="s">
        <v>33</v>
      </c>
      <c r="S3" s="4" t="s">
        <v>678</v>
      </c>
      <c r="T3" s="4" t="s">
        <v>485</v>
      </c>
      <c r="U3" s="4">
        <v>5</v>
      </c>
      <c r="V3" s="4" t="s">
        <v>35</v>
      </c>
      <c r="W3" s="4" t="s">
        <v>681</v>
      </c>
      <c r="X3" s="4" t="s">
        <v>680</v>
      </c>
      <c r="Y3" s="4" t="s">
        <v>38</v>
      </c>
      <c r="Z3" s="4">
        <v>1.18</v>
      </c>
      <c r="AA3" s="4">
        <v>1.06</v>
      </c>
      <c r="AB3" s="4">
        <v>1.32</v>
      </c>
    </row>
    <row r="4" ht="13.85" spans="1:28">
      <c r="A4" s="4">
        <v>1087</v>
      </c>
      <c r="B4" s="4">
        <v>3</v>
      </c>
      <c r="C4" s="4"/>
      <c r="D4" s="4"/>
      <c r="E4" s="4"/>
      <c r="F4" s="4" t="s">
        <v>675</v>
      </c>
      <c r="G4" s="4" t="s">
        <v>350</v>
      </c>
      <c r="H4" s="4" t="s">
        <v>350</v>
      </c>
      <c r="I4" s="4" t="s">
        <v>129</v>
      </c>
      <c r="J4" s="4" t="s">
        <v>130</v>
      </c>
      <c r="K4" s="4" t="s">
        <v>50</v>
      </c>
      <c r="L4" s="4">
        <v>7691</v>
      </c>
      <c r="M4" s="4" t="s">
        <v>101</v>
      </c>
      <c r="N4" s="4" t="s">
        <v>31</v>
      </c>
      <c r="O4" s="4" t="s">
        <v>676</v>
      </c>
      <c r="P4" s="4" t="s">
        <v>677</v>
      </c>
      <c r="Q4" s="4" t="s">
        <v>612</v>
      </c>
      <c r="R4" s="4" t="s">
        <v>33</v>
      </c>
      <c r="S4" s="4" t="s">
        <v>678</v>
      </c>
      <c r="T4" s="4" t="s">
        <v>485</v>
      </c>
      <c r="U4" s="4">
        <v>5</v>
      </c>
      <c r="V4" s="4" t="s">
        <v>35</v>
      </c>
      <c r="W4" s="4" t="s">
        <v>682</v>
      </c>
      <c r="X4" s="4" t="s">
        <v>680</v>
      </c>
      <c r="Y4" s="4" t="s">
        <v>38</v>
      </c>
      <c r="Z4" s="4">
        <v>2.4</v>
      </c>
      <c r="AA4" s="4">
        <v>1.39</v>
      </c>
      <c r="AB4" s="4">
        <v>4.14</v>
      </c>
    </row>
    <row r="5" ht="13.85" spans="1:28">
      <c r="A5" s="4">
        <v>1087</v>
      </c>
      <c r="B5" s="4">
        <v>4</v>
      </c>
      <c r="C5" s="4"/>
      <c r="D5" s="4"/>
      <c r="E5" s="4"/>
      <c r="F5" s="4" t="s">
        <v>675</v>
      </c>
      <c r="G5" s="4" t="s">
        <v>350</v>
      </c>
      <c r="H5" s="4" t="s">
        <v>350</v>
      </c>
      <c r="I5" s="4" t="s">
        <v>129</v>
      </c>
      <c r="J5" s="4" t="s">
        <v>130</v>
      </c>
      <c r="K5" s="4" t="s">
        <v>50</v>
      </c>
      <c r="L5" s="4">
        <v>43153</v>
      </c>
      <c r="M5" s="4" t="s">
        <v>101</v>
      </c>
      <c r="N5" s="4" t="s">
        <v>31</v>
      </c>
      <c r="O5" s="4" t="s">
        <v>676</v>
      </c>
      <c r="P5" s="4" t="s">
        <v>677</v>
      </c>
      <c r="Q5" s="4" t="s">
        <v>612</v>
      </c>
      <c r="R5" s="4" t="s">
        <v>33</v>
      </c>
      <c r="S5" s="4" t="s">
        <v>678</v>
      </c>
      <c r="T5" s="4" t="s">
        <v>485</v>
      </c>
      <c r="U5" s="4">
        <v>5</v>
      </c>
      <c r="V5" s="4" t="s">
        <v>35</v>
      </c>
      <c r="W5" s="4" t="s">
        <v>683</v>
      </c>
      <c r="X5" s="4" t="s">
        <v>680</v>
      </c>
      <c r="Y5" s="4" t="s">
        <v>38</v>
      </c>
      <c r="Z5" s="4">
        <v>1.1</v>
      </c>
      <c r="AA5" s="4">
        <v>0.8</v>
      </c>
      <c r="AB5" s="4">
        <v>1.52</v>
      </c>
    </row>
    <row r="6" ht="13.85" spans="1:28">
      <c r="A6" s="4">
        <v>1087</v>
      </c>
      <c r="B6" s="4">
        <v>5</v>
      </c>
      <c r="C6" s="4"/>
      <c r="D6" s="4"/>
      <c r="E6" s="4"/>
      <c r="F6" s="4" t="s">
        <v>675</v>
      </c>
      <c r="G6" s="4" t="s">
        <v>350</v>
      </c>
      <c r="H6" s="4" t="s">
        <v>350</v>
      </c>
      <c r="I6" s="4" t="s">
        <v>129</v>
      </c>
      <c r="J6" s="4" t="s">
        <v>130</v>
      </c>
      <c r="K6" s="4" t="s">
        <v>50</v>
      </c>
      <c r="L6" s="4">
        <v>193404</v>
      </c>
      <c r="M6" s="4" t="s">
        <v>101</v>
      </c>
      <c r="N6" s="4" t="s">
        <v>31</v>
      </c>
      <c r="O6" s="4" t="s">
        <v>676</v>
      </c>
      <c r="P6" s="4" t="s">
        <v>677</v>
      </c>
      <c r="Q6" s="4" t="s">
        <v>612</v>
      </c>
      <c r="R6" s="4" t="s">
        <v>33</v>
      </c>
      <c r="S6" s="4" t="s">
        <v>678</v>
      </c>
      <c r="T6" s="4" t="s">
        <v>485</v>
      </c>
      <c r="U6" s="4">
        <v>5</v>
      </c>
      <c r="V6" s="4" t="s">
        <v>35</v>
      </c>
      <c r="W6" s="4" t="s">
        <v>684</v>
      </c>
      <c r="X6" s="4" t="s">
        <v>680</v>
      </c>
      <c r="Y6" s="4" t="s">
        <v>38</v>
      </c>
      <c r="Z6" s="4">
        <v>1.13</v>
      </c>
      <c r="AA6" s="4">
        <v>0.98</v>
      </c>
      <c r="AB6" s="4">
        <v>1.3</v>
      </c>
    </row>
    <row r="7" ht="13.85" spans="1:28">
      <c r="A7" s="4">
        <v>1087</v>
      </c>
      <c r="B7" s="4">
        <v>6</v>
      </c>
      <c r="C7" s="4"/>
      <c r="D7" s="4"/>
      <c r="E7" s="4"/>
      <c r="F7" s="4" t="s">
        <v>675</v>
      </c>
      <c r="G7" s="4" t="s">
        <v>350</v>
      </c>
      <c r="H7" s="4" t="s">
        <v>350</v>
      </c>
      <c r="I7" s="4" t="s">
        <v>129</v>
      </c>
      <c r="J7" s="4" t="s">
        <v>130</v>
      </c>
      <c r="K7" s="4" t="s">
        <v>50</v>
      </c>
      <c r="L7" s="4">
        <v>3120</v>
      </c>
      <c r="M7" s="4" t="s">
        <v>101</v>
      </c>
      <c r="N7" s="4" t="s">
        <v>31</v>
      </c>
      <c r="O7" s="4" t="s">
        <v>676</v>
      </c>
      <c r="P7" s="4" t="s">
        <v>677</v>
      </c>
      <c r="Q7" s="4" t="s">
        <v>612</v>
      </c>
      <c r="R7" s="4" t="s">
        <v>33</v>
      </c>
      <c r="S7" s="4" t="s">
        <v>678</v>
      </c>
      <c r="T7" s="4" t="s">
        <v>485</v>
      </c>
      <c r="U7" s="4">
        <v>5</v>
      </c>
      <c r="V7" s="4" t="s">
        <v>35</v>
      </c>
      <c r="W7" s="4" t="s">
        <v>685</v>
      </c>
      <c r="X7" s="4" t="s">
        <v>680</v>
      </c>
      <c r="Y7" s="4" t="s">
        <v>38</v>
      </c>
      <c r="Z7" s="4">
        <v>1.89</v>
      </c>
      <c r="AA7" s="4">
        <v>0.78</v>
      </c>
      <c r="AB7" s="4">
        <v>4.62</v>
      </c>
    </row>
    <row r="8" ht="13.85" spans="1:28">
      <c r="A8" s="4">
        <v>1087</v>
      </c>
      <c r="B8" s="4">
        <v>7</v>
      </c>
      <c r="C8" s="4"/>
      <c r="D8" s="4"/>
      <c r="E8" s="4"/>
      <c r="F8" s="4" t="s">
        <v>116</v>
      </c>
      <c r="G8" s="4" t="s">
        <v>350</v>
      </c>
      <c r="H8" s="4" t="s">
        <v>350</v>
      </c>
      <c r="I8" s="4" t="s">
        <v>129</v>
      </c>
      <c r="J8" s="4" t="s">
        <v>130</v>
      </c>
      <c r="K8" s="4" t="s">
        <v>50</v>
      </c>
      <c r="L8" s="4">
        <v>21238</v>
      </c>
      <c r="M8" s="4" t="s">
        <v>101</v>
      </c>
      <c r="N8" s="4" t="s">
        <v>31</v>
      </c>
      <c r="O8" s="4" t="s">
        <v>676</v>
      </c>
      <c r="P8" s="4" t="s">
        <v>677</v>
      </c>
      <c r="Q8" s="4" t="s">
        <v>612</v>
      </c>
      <c r="R8" s="4" t="s">
        <v>33</v>
      </c>
      <c r="S8" s="4" t="s">
        <v>678</v>
      </c>
      <c r="T8" s="4" t="s">
        <v>485</v>
      </c>
      <c r="U8" s="4">
        <v>5</v>
      </c>
      <c r="V8" s="4" t="s">
        <v>35</v>
      </c>
      <c r="W8" s="4" t="s">
        <v>679</v>
      </c>
      <c r="X8" s="4" t="s">
        <v>680</v>
      </c>
      <c r="Y8" s="4" t="s">
        <v>38</v>
      </c>
      <c r="Z8" s="4">
        <v>1.15</v>
      </c>
      <c r="AA8" s="4">
        <v>0.77</v>
      </c>
      <c r="AB8" s="4">
        <v>1.73</v>
      </c>
    </row>
    <row r="9" ht="13.85" spans="1:28">
      <c r="A9" s="4">
        <v>1087</v>
      </c>
      <c r="B9" s="4">
        <v>8</v>
      </c>
      <c r="C9" s="4"/>
      <c r="D9" s="4"/>
      <c r="E9" s="4"/>
      <c r="F9" s="4" t="s">
        <v>116</v>
      </c>
      <c r="G9" s="4" t="s">
        <v>350</v>
      </c>
      <c r="H9" s="4" t="s">
        <v>350</v>
      </c>
      <c r="I9" s="4" t="s">
        <v>129</v>
      </c>
      <c r="J9" s="4" t="s">
        <v>130</v>
      </c>
      <c r="K9" s="4" t="s">
        <v>50</v>
      </c>
      <c r="L9" s="4">
        <v>89019</v>
      </c>
      <c r="M9" s="4" t="s">
        <v>101</v>
      </c>
      <c r="N9" s="4" t="s">
        <v>31</v>
      </c>
      <c r="O9" s="4" t="s">
        <v>676</v>
      </c>
      <c r="P9" s="4" t="s">
        <v>677</v>
      </c>
      <c r="Q9" s="4" t="s">
        <v>612</v>
      </c>
      <c r="R9" s="4" t="s">
        <v>33</v>
      </c>
      <c r="S9" s="4" t="s">
        <v>678</v>
      </c>
      <c r="T9" s="4" t="s">
        <v>485</v>
      </c>
      <c r="U9" s="4">
        <v>5</v>
      </c>
      <c r="V9" s="4" t="s">
        <v>35</v>
      </c>
      <c r="W9" s="4" t="s">
        <v>681</v>
      </c>
      <c r="X9" s="4" t="s">
        <v>680</v>
      </c>
      <c r="Y9" s="4" t="s">
        <v>38</v>
      </c>
      <c r="Z9" s="4">
        <v>1.13</v>
      </c>
      <c r="AA9" s="4">
        <v>0.99</v>
      </c>
      <c r="AB9" s="4">
        <v>1.29</v>
      </c>
    </row>
    <row r="10" ht="13.85" spans="1:28">
      <c r="A10" s="4">
        <v>1087</v>
      </c>
      <c r="B10" s="4">
        <v>9</v>
      </c>
      <c r="C10" s="4"/>
      <c r="D10" s="4"/>
      <c r="E10" s="4"/>
      <c r="F10" s="4" t="s">
        <v>116</v>
      </c>
      <c r="G10" s="4" t="s">
        <v>350</v>
      </c>
      <c r="H10" s="4" t="s">
        <v>350</v>
      </c>
      <c r="I10" s="4" t="s">
        <v>129</v>
      </c>
      <c r="J10" s="4" t="s">
        <v>130</v>
      </c>
      <c r="K10" s="4" t="s">
        <v>50</v>
      </c>
      <c r="L10" s="4">
        <v>18989</v>
      </c>
      <c r="M10" s="4" t="s">
        <v>101</v>
      </c>
      <c r="N10" s="4" t="s">
        <v>31</v>
      </c>
      <c r="O10" s="4" t="s">
        <v>676</v>
      </c>
      <c r="P10" s="4" t="s">
        <v>677</v>
      </c>
      <c r="Q10" s="4" t="s">
        <v>612</v>
      </c>
      <c r="R10" s="4" t="s">
        <v>33</v>
      </c>
      <c r="S10" s="4" t="s">
        <v>678</v>
      </c>
      <c r="T10" s="4" t="s">
        <v>485</v>
      </c>
      <c r="U10" s="4">
        <v>5</v>
      </c>
      <c r="V10" s="4" t="s">
        <v>35</v>
      </c>
      <c r="W10" s="4" t="s">
        <v>683</v>
      </c>
      <c r="X10" s="4" t="s">
        <v>680</v>
      </c>
      <c r="Y10" s="4" t="s">
        <v>38</v>
      </c>
      <c r="Z10" s="4">
        <v>1.54</v>
      </c>
      <c r="AA10" s="4">
        <v>0.98</v>
      </c>
      <c r="AB10" s="4">
        <v>2.42</v>
      </c>
    </row>
    <row r="11" ht="13.85" spans="1:28">
      <c r="A11" s="4">
        <v>1087</v>
      </c>
      <c r="B11" s="4">
        <v>10</v>
      </c>
      <c r="C11" s="4"/>
      <c r="D11" s="4"/>
      <c r="E11" s="4"/>
      <c r="F11" s="4" t="s">
        <v>116</v>
      </c>
      <c r="G11" s="4" t="s">
        <v>350</v>
      </c>
      <c r="H11" s="4" t="s">
        <v>350</v>
      </c>
      <c r="I11" s="4" t="s">
        <v>129</v>
      </c>
      <c r="J11" s="4" t="s">
        <v>130</v>
      </c>
      <c r="K11" s="4" t="s">
        <v>50</v>
      </c>
      <c r="L11" s="4">
        <v>87968</v>
      </c>
      <c r="M11" s="4" t="s">
        <v>101</v>
      </c>
      <c r="N11" s="4" t="s">
        <v>31</v>
      </c>
      <c r="O11" s="4" t="s">
        <v>676</v>
      </c>
      <c r="P11" s="4" t="s">
        <v>677</v>
      </c>
      <c r="Q11" s="4" t="s">
        <v>612</v>
      </c>
      <c r="R11" s="4" t="s">
        <v>33</v>
      </c>
      <c r="S11" s="4" t="s">
        <v>678</v>
      </c>
      <c r="T11" s="4" t="s">
        <v>485</v>
      </c>
      <c r="U11" s="4">
        <v>5</v>
      </c>
      <c r="V11" s="4" t="s">
        <v>35</v>
      </c>
      <c r="W11" s="4" t="s">
        <v>684</v>
      </c>
      <c r="X11" s="4" t="s">
        <v>680</v>
      </c>
      <c r="Y11" s="4" t="s">
        <v>38</v>
      </c>
      <c r="Z11" s="4">
        <v>1.08</v>
      </c>
      <c r="AA11" s="4">
        <v>0.93</v>
      </c>
      <c r="AB11" s="4">
        <v>1.26</v>
      </c>
    </row>
    <row r="12" ht="13.85" spans="1:28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ht="13.85" spans="1:28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ht="13.85" spans="1:28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ht="13.85" spans="1:28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ht="13.85" spans="1:28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ht="13.85" spans="1:28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ht="13.85" spans="1:2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ht="13.85" spans="1:28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</sheetData>
  <autoFilter xmlns:etc="http://www.wps.cn/officeDocument/2017/etCustomData" ref="A1:AB11" etc:filterBottomFollowUsedRange="0">
    <extLst/>
  </autoFilter>
  <pageMargins left="0.75" right="0.75" top="1" bottom="1" header="0.5" footer="0.5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2"/>
  <sheetViews>
    <sheetView workbookViewId="0">
      <selection activeCell="H1" sqref="H1"/>
    </sheetView>
  </sheetViews>
  <sheetFormatPr defaultColWidth="9.02654867256637" defaultRowHeight="13.5"/>
  <cols>
    <col min="7" max="7" width="30.141592920354" customWidth="1"/>
  </cols>
  <sheetData>
    <row r="1" ht="13.9" spans="1:3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13" t="s">
        <v>19</v>
      </c>
      <c r="V1" s="3" t="s">
        <v>20</v>
      </c>
      <c r="W1" s="3" t="s">
        <v>21</v>
      </c>
      <c r="X1" s="3"/>
      <c r="Y1" s="3" t="s">
        <v>22</v>
      </c>
      <c r="Z1" s="3" t="s">
        <v>23</v>
      </c>
      <c r="AA1" s="3" t="s">
        <v>24</v>
      </c>
      <c r="AB1" s="3" t="s">
        <v>25</v>
      </c>
      <c r="AC1" s="3"/>
      <c r="AD1" s="3"/>
    </row>
    <row r="2" ht="13.85" spans="1:30">
      <c r="A2" s="3">
        <v>53</v>
      </c>
      <c r="B2" s="3">
        <v>1</v>
      </c>
      <c r="C2" s="3"/>
      <c r="D2" s="3">
        <v>2022</v>
      </c>
      <c r="E2" s="3"/>
      <c r="F2" s="3" t="s">
        <v>26</v>
      </c>
      <c r="G2" s="3" t="s">
        <v>686</v>
      </c>
      <c r="H2" s="3" t="s">
        <v>367</v>
      </c>
      <c r="I2" s="3" t="s">
        <v>129</v>
      </c>
      <c r="J2" s="3" t="s">
        <v>330</v>
      </c>
      <c r="K2" s="3" t="s">
        <v>50</v>
      </c>
      <c r="L2" s="3"/>
      <c r="M2" s="3"/>
      <c r="N2" s="3" t="s">
        <v>687</v>
      </c>
      <c r="O2" s="3"/>
      <c r="P2" s="3"/>
      <c r="Q2" s="3" t="s">
        <v>688</v>
      </c>
      <c r="R2" s="3" t="s">
        <v>33</v>
      </c>
      <c r="S2" s="3"/>
      <c r="T2" s="3" t="s">
        <v>689</v>
      </c>
      <c r="U2" s="3">
        <v>1</v>
      </c>
      <c r="V2" s="3" t="s">
        <v>35</v>
      </c>
      <c r="W2" s="3" t="s">
        <v>690</v>
      </c>
      <c r="X2" s="3" t="s">
        <v>691</v>
      </c>
      <c r="Y2" s="3" t="s">
        <v>38</v>
      </c>
      <c r="Z2" s="3">
        <v>1.15</v>
      </c>
      <c r="AA2" s="3">
        <v>0.78</v>
      </c>
      <c r="AB2" s="3">
        <v>1.7</v>
      </c>
      <c r="AC2" s="3"/>
      <c r="AD2" s="3"/>
    </row>
    <row r="3" ht="13.85" spans="1:30">
      <c r="A3" s="3">
        <v>53</v>
      </c>
      <c r="B3" s="3">
        <v>2</v>
      </c>
      <c r="C3" s="3"/>
      <c r="D3" s="3">
        <v>2022</v>
      </c>
      <c r="E3" s="3"/>
      <c r="F3" s="3" t="s">
        <v>26</v>
      </c>
      <c r="G3" s="3" t="s">
        <v>692</v>
      </c>
      <c r="H3" s="3" t="s">
        <v>358</v>
      </c>
      <c r="I3" s="3" t="s">
        <v>129</v>
      </c>
      <c r="J3" s="3" t="s">
        <v>330</v>
      </c>
      <c r="K3" s="3" t="s">
        <v>50</v>
      </c>
      <c r="L3" s="3"/>
      <c r="M3" s="3"/>
      <c r="N3" s="3" t="s">
        <v>687</v>
      </c>
      <c r="O3" s="3"/>
      <c r="P3" s="3"/>
      <c r="Q3" s="3" t="s">
        <v>688</v>
      </c>
      <c r="R3" s="3" t="s">
        <v>33</v>
      </c>
      <c r="S3" s="3"/>
      <c r="T3" s="3" t="s">
        <v>689</v>
      </c>
      <c r="U3" s="3">
        <v>1</v>
      </c>
      <c r="V3" s="3" t="s">
        <v>35</v>
      </c>
      <c r="W3" s="3" t="s">
        <v>690</v>
      </c>
      <c r="X3" s="3" t="s">
        <v>691</v>
      </c>
      <c r="Y3" s="3" t="s">
        <v>38</v>
      </c>
      <c r="Z3" s="3">
        <v>1.07</v>
      </c>
      <c r="AA3" s="3">
        <v>0.73</v>
      </c>
      <c r="AB3" s="3">
        <v>1.56</v>
      </c>
      <c r="AC3" s="3"/>
      <c r="AD3" s="3"/>
    </row>
    <row r="4" ht="13.85" spans="1:30">
      <c r="A4" s="3">
        <v>53</v>
      </c>
      <c r="B4" s="3">
        <v>3</v>
      </c>
      <c r="C4" s="3"/>
      <c r="D4" s="3">
        <v>2022</v>
      </c>
      <c r="E4" s="3"/>
      <c r="F4" s="3" t="s">
        <v>26</v>
      </c>
      <c r="G4" s="3" t="s">
        <v>693</v>
      </c>
      <c r="H4" s="3" t="s">
        <v>358</v>
      </c>
      <c r="I4" s="3" t="s">
        <v>129</v>
      </c>
      <c r="J4" s="3" t="s">
        <v>330</v>
      </c>
      <c r="K4" s="3" t="s">
        <v>50</v>
      </c>
      <c r="L4" s="3"/>
      <c r="M4" s="3"/>
      <c r="N4" s="3" t="s">
        <v>687</v>
      </c>
      <c r="O4" s="3"/>
      <c r="P4" s="3"/>
      <c r="Q4" s="3" t="s">
        <v>688</v>
      </c>
      <c r="R4" s="3" t="s">
        <v>33</v>
      </c>
      <c r="S4" s="3"/>
      <c r="T4" s="3" t="s">
        <v>689</v>
      </c>
      <c r="U4" s="3">
        <v>1</v>
      </c>
      <c r="V4" s="3" t="s">
        <v>35</v>
      </c>
      <c r="W4" s="3" t="s">
        <v>690</v>
      </c>
      <c r="X4" s="3" t="s">
        <v>691</v>
      </c>
      <c r="Y4" s="3" t="s">
        <v>38</v>
      </c>
      <c r="Z4" s="3">
        <v>1.83</v>
      </c>
      <c r="AA4" s="3">
        <v>1.11</v>
      </c>
      <c r="AB4" s="3">
        <v>3.04</v>
      </c>
      <c r="AC4" s="3"/>
      <c r="AD4" s="3"/>
    </row>
    <row r="5" ht="13.85" spans="1:30">
      <c r="A5" s="3">
        <v>53</v>
      </c>
      <c r="B5" s="3">
        <v>4</v>
      </c>
      <c r="C5" s="3"/>
      <c r="D5" s="3">
        <v>2022</v>
      </c>
      <c r="E5" s="3"/>
      <c r="F5" s="3" t="s">
        <v>26</v>
      </c>
      <c r="G5" s="3" t="s">
        <v>694</v>
      </c>
      <c r="H5" s="3" t="s">
        <v>367</v>
      </c>
      <c r="I5" s="3" t="s">
        <v>129</v>
      </c>
      <c r="J5" s="3" t="s">
        <v>330</v>
      </c>
      <c r="K5" s="3" t="s">
        <v>50</v>
      </c>
      <c r="L5" s="3"/>
      <c r="M5" s="3"/>
      <c r="N5" s="3" t="s">
        <v>687</v>
      </c>
      <c r="O5" s="3"/>
      <c r="P5" s="3"/>
      <c r="Q5" s="3" t="s">
        <v>688</v>
      </c>
      <c r="R5" s="3" t="s">
        <v>33</v>
      </c>
      <c r="S5" s="3"/>
      <c r="T5" s="3" t="s">
        <v>689</v>
      </c>
      <c r="U5" s="3">
        <v>1</v>
      </c>
      <c r="V5" s="3" t="s">
        <v>35</v>
      </c>
      <c r="W5" s="3" t="s">
        <v>690</v>
      </c>
      <c r="X5" s="3" t="s">
        <v>691</v>
      </c>
      <c r="Y5" s="3" t="s">
        <v>38</v>
      </c>
      <c r="Z5" s="3">
        <v>1.21</v>
      </c>
      <c r="AA5" s="3">
        <v>0.76</v>
      </c>
      <c r="AB5" s="3">
        <v>1.95</v>
      </c>
      <c r="AC5" s="3"/>
      <c r="AD5" s="3"/>
    </row>
    <row r="6" ht="13.85" spans="1:30">
      <c r="A6" s="3">
        <v>53</v>
      </c>
      <c r="B6" s="3">
        <v>5</v>
      </c>
      <c r="C6" s="3"/>
      <c r="D6" s="3">
        <v>2022</v>
      </c>
      <c r="E6" s="3"/>
      <c r="F6" s="3" t="s">
        <v>26</v>
      </c>
      <c r="G6" s="3" t="s">
        <v>694</v>
      </c>
      <c r="H6" s="3" t="s">
        <v>367</v>
      </c>
      <c r="I6" s="3" t="s">
        <v>129</v>
      </c>
      <c r="J6" s="3" t="s">
        <v>330</v>
      </c>
      <c r="K6" s="3" t="s">
        <v>50</v>
      </c>
      <c r="L6" s="3"/>
      <c r="M6" s="3"/>
      <c r="N6" s="3" t="s">
        <v>687</v>
      </c>
      <c r="O6" s="3"/>
      <c r="P6" s="3"/>
      <c r="Q6" s="3" t="s">
        <v>688</v>
      </c>
      <c r="R6" s="3" t="s">
        <v>33</v>
      </c>
      <c r="S6" s="3"/>
      <c r="T6" s="3" t="s">
        <v>689</v>
      </c>
      <c r="U6" s="3">
        <v>1</v>
      </c>
      <c r="V6" s="3" t="s">
        <v>35</v>
      </c>
      <c r="W6" s="3" t="s">
        <v>690</v>
      </c>
      <c r="X6" s="3" t="s">
        <v>691</v>
      </c>
      <c r="Y6" s="3" t="s">
        <v>38</v>
      </c>
      <c r="Z6" s="3">
        <v>1.19</v>
      </c>
      <c r="AA6" s="3">
        <v>0.77</v>
      </c>
      <c r="AB6" s="3">
        <v>1.85</v>
      </c>
      <c r="AC6" s="3"/>
      <c r="AD6" s="3"/>
    </row>
    <row r="7" ht="13.85" spans="1:30">
      <c r="A7" s="3">
        <v>53</v>
      </c>
      <c r="B7" s="3">
        <v>6</v>
      </c>
      <c r="C7" s="3"/>
      <c r="D7" s="3">
        <v>2022</v>
      </c>
      <c r="E7" s="3"/>
      <c r="F7" s="3" t="s">
        <v>26</v>
      </c>
      <c r="G7" s="3" t="s">
        <v>694</v>
      </c>
      <c r="H7" s="3" t="s">
        <v>367</v>
      </c>
      <c r="I7" s="3" t="s">
        <v>129</v>
      </c>
      <c r="J7" s="3" t="s">
        <v>330</v>
      </c>
      <c r="K7" s="3" t="s">
        <v>50</v>
      </c>
      <c r="L7" s="3"/>
      <c r="M7" s="3"/>
      <c r="N7" s="3" t="s">
        <v>687</v>
      </c>
      <c r="O7" s="3"/>
      <c r="P7" s="3"/>
      <c r="Q7" s="3" t="s">
        <v>688</v>
      </c>
      <c r="R7" s="3" t="s">
        <v>33</v>
      </c>
      <c r="S7" s="3"/>
      <c r="T7" s="3" t="s">
        <v>689</v>
      </c>
      <c r="U7" s="3">
        <v>1</v>
      </c>
      <c r="V7" s="3" t="s">
        <v>35</v>
      </c>
      <c r="W7" s="3" t="s">
        <v>690</v>
      </c>
      <c r="X7" s="3" t="s">
        <v>691</v>
      </c>
      <c r="Y7" s="3" t="s">
        <v>38</v>
      </c>
      <c r="Z7" s="3">
        <v>1.28</v>
      </c>
      <c r="AA7" s="3">
        <v>0.8</v>
      </c>
      <c r="AB7" s="3">
        <v>2.04</v>
      </c>
    </row>
    <row r="8" ht="13.85" spans="1:30">
      <c r="A8" s="3">
        <v>53</v>
      </c>
      <c r="B8" s="3">
        <v>7</v>
      </c>
      <c r="C8" s="3"/>
      <c r="D8" s="3">
        <v>2022</v>
      </c>
      <c r="E8" s="3"/>
      <c r="F8" s="3" t="s">
        <v>26</v>
      </c>
      <c r="G8" s="3" t="s">
        <v>695</v>
      </c>
      <c r="H8" s="3" t="s">
        <v>367</v>
      </c>
      <c r="I8" s="3" t="s">
        <v>129</v>
      </c>
      <c r="J8" s="3" t="s">
        <v>29</v>
      </c>
      <c r="K8" s="3" t="s">
        <v>50</v>
      </c>
      <c r="L8" s="3"/>
      <c r="M8" s="3"/>
      <c r="N8" s="3" t="s">
        <v>687</v>
      </c>
      <c r="O8" s="3"/>
      <c r="P8" s="3"/>
      <c r="Q8" s="3" t="s">
        <v>688</v>
      </c>
      <c r="R8" s="3" t="s">
        <v>33</v>
      </c>
      <c r="S8" s="3"/>
      <c r="T8" s="3" t="s">
        <v>689</v>
      </c>
      <c r="U8" s="3">
        <v>1</v>
      </c>
      <c r="V8" s="3" t="s">
        <v>35</v>
      </c>
      <c r="W8" s="3" t="s">
        <v>690</v>
      </c>
      <c r="X8" s="3" t="s">
        <v>691</v>
      </c>
      <c r="Y8" s="3" t="s">
        <v>38</v>
      </c>
      <c r="Z8" s="3">
        <v>1.27</v>
      </c>
      <c r="AA8" s="3">
        <v>0.63</v>
      </c>
      <c r="AB8" s="3">
        <v>2.57</v>
      </c>
    </row>
    <row r="9" ht="13.85" spans="1:30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ht="13.85" spans="1:3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ht="13.85" spans="1:30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ht="13.85" spans="1:30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</sheetData>
  <autoFilter xmlns:etc="http://www.wps.cn/officeDocument/2017/etCustomData" ref="A1:AB8" etc:filterBottomFollowUsedRange="0">
    <extLst/>
  </autoFilter>
  <pageMargins left="0.75" right="0.75" top="1" bottom="1" header="0.5" footer="0.5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X6"/>
  <sheetViews>
    <sheetView topLeftCell="S1" workbookViewId="0">
      <selection activeCell="Z1" sqref="Z$1:Z$1048576"/>
    </sheetView>
  </sheetViews>
  <sheetFormatPr defaultColWidth="9.02654867256637" defaultRowHeight="13.5" outlineLevelRow="5"/>
  <cols>
    <col min="15" max="15" width="9.89380530973451" customWidth="1"/>
    <col min="17" max="17" width="100.840707964602" customWidth="1"/>
    <col min="23" max="23" width="30.0796460176991" customWidth="1"/>
  </cols>
  <sheetData>
    <row r="1" ht="13.9" spans="1:10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12" t="s">
        <v>19</v>
      </c>
      <c r="V1" s="2" t="s">
        <v>20</v>
      </c>
      <c r="W1" s="2" t="s">
        <v>21</v>
      </c>
      <c r="X1" s="2"/>
      <c r="Y1" s="2" t="s">
        <v>22</v>
      </c>
      <c r="Z1" s="2" t="s">
        <v>23</v>
      </c>
      <c r="AA1" s="2" t="s">
        <v>24</v>
      </c>
      <c r="AB1" s="2" t="s">
        <v>25</v>
      </c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</row>
    <row r="2" ht="13.85" spans="1:102">
      <c r="A2" s="2">
        <v>282</v>
      </c>
      <c r="B2" s="2">
        <v>1</v>
      </c>
      <c r="C2" s="2"/>
      <c r="D2" s="2">
        <v>2024</v>
      </c>
      <c r="E2" s="2"/>
      <c r="F2" s="2" t="s">
        <v>212</v>
      </c>
      <c r="G2" s="2" t="s">
        <v>159</v>
      </c>
      <c r="H2" s="2" t="s">
        <v>159</v>
      </c>
      <c r="I2" s="2" t="s">
        <v>28</v>
      </c>
      <c r="J2" s="2" t="s">
        <v>49</v>
      </c>
      <c r="K2" s="2" t="s">
        <v>30</v>
      </c>
      <c r="L2" s="2"/>
      <c r="M2" s="2"/>
      <c r="N2" s="2" t="s">
        <v>41</v>
      </c>
      <c r="O2" s="2"/>
      <c r="P2" s="2" t="s">
        <v>696</v>
      </c>
      <c r="Q2" s="2" t="s">
        <v>697</v>
      </c>
      <c r="R2" s="2" t="s">
        <v>33</v>
      </c>
      <c r="S2" s="2"/>
      <c r="T2" s="2" t="s">
        <v>698</v>
      </c>
      <c r="U2" s="2">
        <v>6</v>
      </c>
      <c r="V2" s="2" t="s">
        <v>35</v>
      </c>
      <c r="W2" s="2" t="s">
        <v>699</v>
      </c>
      <c r="X2" s="2" t="s">
        <v>700</v>
      </c>
      <c r="Y2" s="2" t="s">
        <v>146</v>
      </c>
      <c r="Z2" s="2">
        <v>1.61</v>
      </c>
      <c r="AA2" s="2">
        <v>1.13</v>
      </c>
      <c r="AB2" s="2">
        <v>2.28</v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</row>
    <row r="3" ht="13.85" spans="1:102">
      <c r="A3" s="2">
        <v>282</v>
      </c>
      <c r="B3" s="2">
        <v>2</v>
      </c>
      <c r="C3" s="2"/>
      <c r="D3" s="2">
        <v>2024</v>
      </c>
      <c r="E3" s="2"/>
      <c r="F3" s="2" t="s">
        <v>365</v>
      </c>
      <c r="G3" s="2" t="s">
        <v>159</v>
      </c>
      <c r="H3" s="2" t="s">
        <v>159</v>
      </c>
      <c r="I3" s="2" t="s">
        <v>28</v>
      </c>
      <c r="J3" s="2" t="s">
        <v>49</v>
      </c>
      <c r="K3" s="2" t="s">
        <v>30</v>
      </c>
      <c r="L3" s="2"/>
      <c r="M3" s="2"/>
      <c r="N3" s="2" t="s">
        <v>41</v>
      </c>
      <c r="O3" s="2"/>
      <c r="P3" s="2" t="s">
        <v>696</v>
      </c>
      <c r="Q3" s="2" t="s">
        <v>697</v>
      </c>
      <c r="R3" s="2" t="s">
        <v>33</v>
      </c>
      <c r="S3" s="2"/>
      <c r="T3" s="2" t="s">
        <v>698</v>
      </c>
      <c r="U3" s="2">
        <v>6</v>
      </c>
      <c r="V3" s="2" t="s">
        <v>35</v>
      </c>
      <c r="W3" s="2" t="s">
        <v>699</v>
      </c>
      <c r="X3" s="2" t="s">
        <v>700</v>
      </c>
      <c r="Y3" s="2" t="s">
        <v>146</v>
      </c>
      <c r="Z3" s="2">
        <v>1.66</v>
      </c>
      <c r="AA3" s="2">
        <v>1.44</v>
      </c>
      <c r="AB3" s="2">
        <v>1.91</v>
      </c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</row>
    <row r="4" ht="13.85" spans="1:102">
      <c r="A4" s="2">
        <v>818</v>
      </c>
      <c r="B4" s="2">
        <v>1</v>
      </c>
      <c r="C4" s="2"/>
      <c r="D4" s="2">
        <v>2021</v>
      </c>
      <c r="E4" s="2"/>
      <c r="F4" s="2" t="s">
        <v>365</v>
      </c>
      <c r="G4" s="2" t="s">
        <v>159</v>
      </c>
      <c r="H4" s="2" t="s">
        <v>159</v>
      </c>
      <c r="I4" s="2" t="s">
        <v>28</v>
      </c>
      <c r="J4" s="2" t="s">
        <v>49</v>
      </c>
      <c r="K4" s="2" t="s">
        <v>30</v>
      </c>
      <c r="L4" s="2"/>
      <c r="M4" s="2"/>
      <c r="N4" s="2" t="s">
        <v>31</v>
      </c>
      <c r="O4" s="2"/>
      <c r="P4" s="2"/>
      <c r="Q4" s="2" t="s">
        <v>701</v>
      </c>
      <c r="R4" s="2" t="s">
        <v>33</v>
      </c>
      <c r="S4" s="2"/>
      <c r="T4" s="2" t="s">
        <v>187</v>
      </c>
      <c r="U4" s="2">
        <v>7</v>
      </c>
      <c r="V4" s="2" t="s">
        <v>35</v>
      </c>
      <c r="W4" s="2" t="s">
        <v>702</v>
      </c>
      <c r="X4" s="2" t="s">
        <v>700</v>
      </c>
      <c r="Y4" s="2" t="s">
        <v>38</v>
      </c>
      <c r="Z4" s="2">
        <v>1.27</v>
      </c>
      <c r="AA4" s="2">
        <v>1.01</v>
      </c>
      <c r="AB4" s="2">
        <v>1.62</v>
      </c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</row>
    <row r="5" ht="13.85" spans="1:10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ht="13.85" spans="1:10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</row>
  </sheetData>
  <autoFilter xmlns:etc="http://www.wps.cn/officeDocument/2017/etCustomData" ref="A1:AB4" etc:filterBottomFollowUsedRange="0">
    <extLst/>
  </autoFilter>
  <pageMargins left="0.75" right="0.75" top="1" bottom="1" header="0.5" footer="0.5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0"/>
  <sheetViews>
    <sheetView workbookViewId="0">
      <selection activeCell="H1" sqref="H1"/>
    </sheetView>
  </sheetViews>
  <sheetFormatPr defaultColWidth="9.02654867256637" defaultRowHeight="13.5"/>
  <cols>
    <col min="17" max="17" width="90.7345132743363" customWidth="1"/>
    <col min="23" max="23" width="21.9646017699115" customWidth="1"/>
  </cols>
  <sheetData>
    <row r="1" ht="13.9" spans="1:3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12" t="s">
        <v>19</v>
      </c>
      <c r="V1" s="2" t="s">
        <v>20</v>
      </c>
      <c r="W1" s="2" t="s">
        <v>21</v>
      </c>
      <c r="X1" s="2"/>
      <c r="Y1" s="2" t="s">
        <v>22</v>
      </c>
      <c r="Z1" s="2" t="s">
        <v>23</v>
      </c>
      <c r="AA1" s="2" t="s">
        <v>24</v>
      </c>
      <c r="AB1" s="2" t="s">
        <v>25</v>
      </c>
      <c r="AC1" s="2"/>
      <c r="AD1" s="2"/>
      <c r="AE1" s="2"/>
    </row>
    <row r="2" ht="13.85" spans="1:31">
      <c r="A2" s="2">
        <v>21</v>
      </c>
      <c r="B2" s="2">
        <v>1</v>
      </c>
      <c r="C2" s="2"/>
      <c r="D2" s="2">
        <v>2020</v>
      </c>
      <c r="E2" s="2"/>
      <c r="F2" s="2" t="s">
        <v>26</v>
      </c>
      <c r="G2" s="2" t="s">
        <v>289</v>
      </c>
      <c r="H2" s="2" t="s">
        <v>289</v>
      </c>
      <c r="I2" s="2" t="s">
        <v>28</v>
      </c>
      <c r="J2" s="2" t="s">
        <v>152</v>
      </c>
      <c r="K2" s="2" t="s">
        <v>50</v>
      </c>
      <c r="L2" s="2">
        <v>15369</v>
      </c>
      <c r="M2" s="2"/>
      <c r="N2" s="2" t="s">
        <v>41</v>
      </c>
      <c r="O2" s="2"/>
      <c r="P2" s="2"/>
      <c r="Q2" s="2" t="s">
        <v>291</v>
      </c>
      <c r="R2" s="2" t="s">
        <v>33</v>
      </c>
      <c r="S2" s="2"/>
      <c r="T2" s="2" t="s">
        <v>43</v>
      </c>
      <c r="U2" s="2">
        <v>15</v>
      </c>
      <c r="V2" s="2" t="s">
        <v>35</v>
      </c>
      <c r="W2" s="2" t="s">
        <v>703</v>
      </c>
      <c r="X2" s="2" t="s">
        <v>704</v>
      </c>
      <c r="Y2" s="2" t="s">
        <v>38</v>
      </c>
      <c r="Z2" s="2">
        <v>1.58</v>
      </c>
      <c r="AA2" s="2">
        <v>0.29</v>
      </c>
      <c r="AB2" s="2">
        <v>8.61</v>
      </c>
      <c r="AC2" s="2"/>
      <c r="AD2" s="2"/>
      <c r="AE2" s="2"/>
    </row>
    <row r="3" ht="13.85" spans="1:31">
      <c r="A3" s="2">
        <v>282</v>
      </c>
      <c r="B3" s="2">
        <v>2</v>
      </c>
      <c r="C3" s="2"/>
      <c r="D3" s="2">
        <v>2023</v>
      </c>
      <c r="E3" s="2"/>
      <c r="F3" s="2" t="s">
        <v>26</v>
      </c>
      <c r="G3" s="2" t="s">
        <v>705</v>
      </c>
      <c r="H3" s="2" t="s">
        <v>705</v>
      </c>
      <c r="I3" s="2" t="s">
        <v>28</v>
      </c>
      <c r="J3" s="2" t="s">
        <v>40</v>
      </c>
      <c r="K3" s="2" t="s">
        <v>30</v>
      </c>
      <c r="L3" s="2"/>
      <c r="M3" s="2"/>
      <c r="N3" s="2" t="s">
        <v>687</v>
      </c>
      <c r="O3" s="2"/>
      <c r="P3" s="2" t="s">
        <v>706</v>
      </c>
      <c r="Q3" s="2" t="s">
        <v>707</v>
      </c>
      <c r="R3" s="2" t="s">
        <v>33</v>
      </c>
      <c r="S3" s="2"/>
      <c r="T3" s="2" t="s">
        <v>508</v>
      </c>
      <c r="U3" s="2">
        <v>2.5</v>
      </c>
      <c r="V3" s="2" t="s">
        <v>35</v>
      </c>
      <c r="W3" s="2" t="s">
        <v>708</v>
      </c>
      <c r="X3" s="2" t="s">
        <v>704</v>
      </c>
      <c r="Y3" s="2" t="s">
        <v>38</v>
      </c>
      <c r="Z3" s="2">
        <v>1.267</v>
      </c>
      <c r="AA3" s="2">
        <v>1.12</v>
      </c>
      <c r="AB3" s="2">
        <v>1.434</v>
      </c>
      <c r="AC3" s="2"/>
      <c r="AD3" s="2"/>
      <c r="AE3" s="2"/>
    </row>
    <row r="4" customFormat="1" ht="13.85" spans="1:31">
      <c r="A4" s="2">
        <v>723</v>
      </c>
      <c r="B4" s="2">
        <v>1</v>
      </c>
      <c r="C4" s="2"/>
      <c r="D4" s="2">
        <v>2023</v>
      </c>
      <c r="E4" s="2"/>
      <c r="F4" s="2" t="s">
        <v>26</v>
      </c>
      <c r="G4" s="2" t="s">
        <v>583</v>
      </c>
      <c r="H4" s="2" t="s">
        <v>583</v>
      </c>
      <c r="I4" s="2" t="s">
        <v>309</v>
      </c>
      <c r="J4" s="2" t="s">
        <v>199</v>
      </c>
      <c r="K4" s="2" t="s">
        <v>30</v>
      </c>
      <c r="L4" s="2"/>
      <c r="M4" s="2">
        <v>0.519</v>
      </c>
      <c r="N4" s="2" t="s">
        <v>31</v>
      </c>
      <c r="O4" s="2"/>
      <c r="P4" s="2"/>
      <c r="Q4" s="2" t="s">
        <v>584</v>
      </c>
      <c r="R4" s="2" t="s">
        <v>33</v>
      </c>
      <c r="S4" s="2"/>
      <c r="T4" s="2" t="s">
        <v>53</v>
      </c>
      <c r="U4" s="2">
        <v>10</v>
      </c>
      <c r="V4" s="2" t="s">
        <v>35</v>
      </c>
      <c r="W4" s="2" t="s">
        <v>709</v>
      </c>
      <c r="X4" s="2" t="s">
        <v>704</v>
      </c>
      <c r="Y4" s="2" t="s">
        <v>38</v>
      </c>
      <c r="Z4" s="2">
        <v>1.13</v>
      </c>
      <c r="AA4" s="2">
        <v>1.02</v>
      </c>
      <c r="AB4" s="2">
        <v>1.25</v>
      </c>
      <c r="AC4" s="2"/>
      <c r="AD4" s="2"/>
      <c r="AE4" s="2"/>
    </row>
    <row r="5" ht="13.85" spans="1:31">
      <c r="A5" s="2">
        <v>725</v>
      </c>
      <c r="B5" s="2">
        <v>1</v>
      </c>
      <c r="C5" s="2"/>
      <c r="D5" s="2">
        <v>2023</v>
      </c>
      <c r="E5" s="2"/>
      <c r="F5" s="2" t="s">
        <v>26</v>
      </c>
      <c r="G5" s="2" t="s">
        <v>583</v>
      </c>
      <c r="H5" s="2" t="s">
        <v>583</v>
      </c>
      <c r="I5" s="2" t="s">
        <v>309</v>
      </c>
      <c r="J5" s="2" t="s">
        <v>199</v>
      </c>
      <c r="K5" s="2" t="s">
        <v>30</v>
      </c>
      <c r="L5" s="2"/>
      <c r="M5" s="2"/>
      <c r="N5" s="2" t="s">
        <v>31</v>
      </c>
      <c r="O5" s="2"/>
      <c r="P5" s="2"/>
      <c r="Q5" s="2" t="s">
        <v>584</v>
      </c>
      <c r="R5" s="2" t="s">
        <v>33</v>
      </c>
      <c r="S5" s="2"/>
      <c r="T5" s="2" t="s">
        <v>53</v>
      </c>
      <c r="U5" s="2">
        <v>10</v>
      </c>
      <c r="V5" s="2" t="s">
        <v>35</v>
      </c>
      <c r="W5" s="2" t="s">
        <v>709</v>
      </c>
      <c r="X5" s="2" t="s">
        <v>704</v>
      </c>
      <c r="Y5" s="2" t="s">
        <v>38</v>
      </c>
      <c r="Z5" s="2">
        <v>1.23</v>
      </c>
      <c r="AA5" s="2">
        <v>1.132</v>
      </c>
      <c r="AB5" s="2">
        <v>1.328</v>
      </c>
      <c r="AC5" s="2"/>
      <c r="AD5" s="2"/>
      <c r="AE5" s="2"/>
    </row>
    <row r="6" ht="13.9" spans="1:31">
      <c r="A6" s="2">
        <v>1089</v>
      </c>
      <c r="B6" s="2">
        <v>1</v>
      </c>
      <c r="C6" s="2" t="s">
        <v>710</v>
      </c>
      <c r="D6" s="2" t="s">
        <v>711</v>
      </c>
      <c r="E6" s="2"/>
      <c r="F6" s="2" t="s">
        <v>26</v>
      </c>
      <c r="G6" s="2" t="s">
        <v>159</v>
      </c>
      <c r="H6" s="2" t="s">
        <v>159</v>
      </c>
      <c r="I6" s="2" t="s">
        <v>28</v>
      </c>
      <c r="J6" s="2" t="s">
        <v>49</v>
      </c>
      <c r="K6" s="2" t="s">
        <v>30</v>
      </c>
      <c r="L6" s="2" t="s">
        <v>712</v>
      </c>
      <c r="M6" s="2" t="s">
        <v>101</v>
      </c>
      <c r="N6" s="2" t="s">
        <v>31</v>
      </c>
      <c r="O6" s="2" t="s">
        <v>610</v>
      </c>
      <c r="P6" s="2" t="s">
        <v>620</v>
      </c>
      <c r="Q6" s="2" t="s">
        <v>713</v>
      </c>
      <c r="R6" s="2" t="s">
        <v>33</v>
      </c>
      <c r="S6" s="2" t="s">
        <v>171</v>
      </c>
      <c r="T6" s="2" t="s">
        <v>508</v>
      </c>
      <c r="U6" s="2">
        <v>2.5</v>
      </c>
      <c r="V6" s="2" t="s">
        <v>35</v>
      </c>
      <c r="W6" s="2" t="s">
        <v>714</v>
      </c>
      <c r="X6" s="2" t="s">
        <v>704</v>
      </c>
      <c r="Y6" s="2" t="s">
        <v>38</v>
      </c>
      <c r="Z6" s="2">
        <v>1.17</v>
      </c>
      <c r="AA6" s="2">
        <v>1.15</v>
      </c>
      <c r="AB6" s="2">
        <v>1.19</v>
      </c>
      <c r="AC6" s="2"/>
      <c r="AD6" s="2"/>
      <c r="AE6" s="2"/>
    </row>
    <row r="7" ht="13.85" spans="1:31">
      <c r="A7" s="2">
        <v>1175</v>
      </c>
      <c r="B7" s="2">
        <v>1</v>
      </c>
      <c r="C7" s="2"/>
      <c r="D7" s="2"/>
      <c r="E7" s="2"/>
      <c r="F7" s="2" t="s">
        <v>465</v>
      </c>
      <c r="G7" s="2" t="s">
        <v>466</v>
      </c>
      <c r="H7" s="2" t="s">
        <v>214</v>
      </c>
      <c r="I7" s="2" t="s">
        <v>214</v>
      </c>
      <c r="J7" s="2" t="s">
        <v>214</v>
      </c>
      <c r="K7" s="2" t="s">
        <v>214</v>
      </c>
      <c r="L7" s="2" t="s">
        <v>101</v>
      </c>
      <c r="M7" s="2" t="s">
        <v>101</v>
      </c>
      <c r="N7" s="2" t="s">
        <v>31</v>
      </c>
      <c r="O7" s="2" t="s">
        <v>467</v>
      </c>
      <c r="P7" s="2" t="s">
        <v>468</v>
      </c>
      <c r="Q7" s="2" t="s">
        <v>361</v>
      </c>
      <c r="R7" s="2" t="s">
        <v>33</v>
      </c>
      <c r="S7" s="2" t="s">
        <v>463</v>
      </c>
      <c r="T7" s="2" t="s">
        <v>113</v>
      </c>
      <c r="U7" s="2">
        <v>10.5</v>
      </c>
      <c r="V7" s="2" t="s">
        <v>35</v>
      </c>
      <c r="W7" s="2" t="s">
        <v>709</v>
      </c>
      <c r="X7" s="2" t="s">
        <v>704</v>
      </c>
      <c r="Y7" s="2" t="s">
        <v>38</v>
      </c>
      <c r="Z7" s="2">
        <v>1.12</v>
      </c>
      <c r="AA7" s="2">
        <v>1.05</v>
      </c>
      <c r="AB7" s="2">
        <v>1.2</v>
      </c>
      <c r="AC7" s="2"/>
      <c r="AD7" s="2"/>
      <c r="AE7" s="2"/>
    </row>
    <row r="8" ht="13.85" spans="1:31">
      <c r="A8" s="2">
        <v>1175</v>
      </c>
      <c r="B8" s="2">
        <v>2</v>
      </c>
      <c r="C8" s="2"/>
      <c r="D8" s="2"/>
      <c r="E8" s="2"/>
      <c r="F8" s="2" t="s">
        <v>469</v>
      </c>
      <c r="G8" s="2" t="s">
        <v>466</v>
      </c>
      <c r="H8" s="2" t="s">
        <v>214</v>
      </c>
      <c r="I8" s="2" t="s">
        <v>214</v>
      </c>
      <c r="J8" s="2" t="s">
        <v>214</v>
      </c>
      <c r="K8" s="2" t="s">
        <v>214</v>
      </c>
      <c r="L8" s="2" t="s">
        <v>101</v>
      </c>
      <c r="M8" s="2" t="s">
        <v>101</v>
      </c>
      <c r="N8" s="2" t="s">
        <v>31</v>
      </c>
      <c r="O8" s="2" t="s">
        <v>467</v>
      </c>
      <c r="P8" s="2" t="s">
        <v>468</v>
      </c>
      <c r="Q8" s="2" t="s">
        <v>361</v>
      </c>
      <c r="R8" s="2" t="s">
        <v>33</v>
      </c>
      <c r="S8" s="2" t="s">
        <v>463</v>
      </c>
      <c r="T8" s="2" t="s">
        <v>113</v>
      </c>
      <c r="U8" s="2">
        <v>10.5</v>
      </c>
      <c r="V8" s="2" t="s">
        <v>35</v>
      </c>
      <c r="W8" s="2" t="s">
        <v>709</v>
      </c>
      <c r="X8" s="2" t="s">
        <v>704</v>
      </c>
      <c r="Y8" s="2" t="s">
        <v>38</v>
      </c>
      <c r="Z8" s="2">
        <v>1.25</v>
      </c>
      <c r="AA8" s="2">
        <v>1.18</v>
      </c>
      <c r="AB8" s="2">
        <v>1.32</v>
      </c>
      <c r="AC8" s="2"/>
      <c r="AD8" s="2"/>
      <c r="AE8" s="2"/>
    </row>
    <row r="9" ht="13.85" spans="1:3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ht="13.85" spans="1:3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</sheetData>
  <autoFilter xmlns:etc="http://www.wps.cn/officeDocument/2017/etCustomData" ref="A1:AB8" etc:filterBottomFollowUsedRange="0">
    <extLst/>
  </autoFilter>
  <pageMargins left="0.75" right="0.75" top="1" bottom="1" header="0.5" footer="0.5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"/>
  <sheetViews>
    <sheetView topLeftCell="O1" workbookViewId="0">
      <selection activeCell="W37" sqref="W37"/>
    </sheetView>
  </sheetViews>
  <sheetFormatPr defaultColWidth="9.02654867256637" defaultRowHeight="13.85" outlineLevelRow="2"/>
  <cols>
    <col min="1" max="16384" width="9.02654867256637" style="1"/>
  </cols>
  <sheetData>
    <row r="1" ht="13.9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715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5" t="s">
        <v>19</v>
      </c>
      <c r="V1" s="1" t="s">
        <v>20</v>
      </c>
      <c r="W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</row>
    <row r="2" spans="1:28">
      <c r="A2" s="1">
        <v>1123</v>
      </c>
      <c r="B2" s="1">
        <v>1</v>
      </c>
      <c r="F2" s="1" t="s">
        <v>716</v>
      </c>
      <c r="G2" s="1" t="s">
        <v>159</v>
      </c>
      <c r="H2" s="1" t="s">
        <v>159</v>
      </c>
      <c r="I2" s="1" t="s">
        <v>28</v>
      </c>
      <c r="J2" s="1" t="s">
        <v>49</v>
      </c>
      <c r="K2" s="1" t="s">
        <v>30</v>
      </c>
      <c r="L2" s="1" t="s">
        <v>717</v>
      </c>
      <c r="M2" s="1" t="s">
        <v>101</v>
      </c>
      <c r="N2" s="1" t="s">
        <v>41</v>
      </c>
      <c r="O2" s="1" t="s">
        <v>576</v>
      </c>
      <c r="P2" s="1" t="s">
        <v>718</v>
      </c>
      <c r="Q2" s="1" t="s">
        <v>719</v>
      </c>
      <c r="R2" s="1" t="s">
        <v>33</v>
      </c>
      <c r="S2" s="1" t="s">
        <v>171</v>
      </c>
      <c r="T2" s="1" t="s">
        <v>104</v>
      </c>
      <c r="U2" s="1">
        <v>2</v>
      </c>
      <c r="V2" s="1" t="s">
        <v>35</v>
      </c>
      <c r="W2" s="1" t="s">
        <v>720</v>
      </c>
      <c r="X2" s="1" t="s">
        <v>721</v>
      </c>
      <c r="Y2" s="1" t="s">
        <v>146</v>
      </c>
      <c r="Z2" s="1">
        <v>1.5</v>
      </c>
      <c r="AA2" s="1">
        <v>1.343</v>
      </c>
      <c r="AB2" s="1">
        <v>1.674</v>
      </c>
    </row>
    <row r="3" spans="1:28">
      <c r="A3" s="1">
        <v>1123</v>
      </c>
      <c r="B3" s="1">
        <v>2</v>
      </c>
      <c r="F3" s="1" t="s">
        <v>365</v>
      </c>
      <c r="G3" s="1" t="s">
        <v>159</v>
      </c>
      <c r="H3" s="1" t="s">
        <v>159</v>
      </c>
      <c r="I3" s="1" t="s">
        <v>28</v>
      </c>
      <c r="J3" s="1" t="s">
        <v>49</v>
      </c>
      <c r="K3" s="1" t="s">
        <v>30</v>
      </c>
      <c r="L3" s="1" t="s">
        <v>722</v>
      </c>
      <c r="M3" s="1" t="s">
        <v>101</v>
      </c>
      <c r="N3" s="1" t="s">
        <v>41</v>
      </c>
      <c r="O3" s="1" t="s">
        <v>576</v>
      </c>
      <c r="P3" s="1" t="s">
        <v>718</v>
      </c>
      <c r="Q3" s="1" t="s">
        <v>719</v>
      </c>
      <c r="R3" s="1" t="s">
        <v>33</v>
      </c>
      <c r="S3" s="1" t="s">
        <v>171</v>
      </c>
      <c r="T3" s="1" t="s">
        <v>104</v>
      </c>
      <c r="U3" s="1">
        <v>2</v>
      </c>
      <c r="V3" s="1" t="s">
        <v>35</v>
      </c>
      <c r="W3" s="1" t="s">
        <v>720</v>
      </c>
      <c r="X3" s="1" t="s">
        <v>721</v>
      </c>
      <c r="Y3" s="1" t="s">
        <v>146</v>
      </c>
      <c r="Z3" s="1">
        <v>1.305</v>
      </c>
      <c r="AA3" s="1">
        <v>1.198</v>
      </c>
      <c r="AB3" s="1">
        <v>1.42</v>
      </c>
    </row>
  </sheetData>
  <autoFilter xmlns:etc="http://www.wps.cn/officeDocument/2017/etCustomData" ref="A1:AB3" etc:filterBottomFollowUsedRange="0">
    <extLst/>
  </autoFilter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Hospitalization</vt:lpstr>
      <vt:lpstr>all-cause mortality</vt:lpstr>
      <vt:lpstr>emergency</vt:lpstr>
      <vt:lpstr>Circulatory Diseases Mortality</vt:lpstr>
      <vt:lpstr>Tuberculosis Morbidity</vt:lpstr>
      <vt:lpstr>Circulatory Diseases Morbidity</vt:lpstr>
      <vt:lpstr>Mental Disorders Morbidity</vt:lpstr>
      <vt:lpstr>Suicide Morbidity</vt:lpstr>
      <vt:lpstr>Nervous Diseases Mortality</vt:lpstr>
      <vt:lpstr>Respiratory Diseases Mortality</vt:lpstr>
      <vt:lpstr>Nervous Diseases Morbidity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李燊</dc:creator>
  <cp:lastModifiedBy>WPS_1602315140</cp:lastModifiedBy>
  <dcterms:created xsi:type="dcterms:W3CDTF">2023-05-12T11:15:00Z</dcterms:created>
  <dcterms:modified xsi:type="dcterms:W3CDTF">2026-08-14T04:29:02Z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46B4D740116B49C4BCC0E7044738E179_12</vt:lpwstr>
  </property>
</Properties>
</file>