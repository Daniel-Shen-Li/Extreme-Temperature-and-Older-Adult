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0560" firstSheet="2" activeTab="5"/>
  </bookViews>
  <sheets>
    <sheet name="Circulatory Diseases Mortality" sheetId="2" r:id="rId1"/>
    <sheet name="Hospitalization" sheetId="3" r:id="rId2"/>
    <sheet name="all-cause mortality" sheetId="4" r:id="rId3"/>
    <sheet name="Circulatory Diseases Morbidity" sheetId="7" r:id="rId4"/>
    <sheet name="Respiratory Diseases Morbidity" sheetId="5" r:id="rId5"/>
    <sheet name="Respiratory Diseases Mortality" sheetId="8" r:id="rId6"/>
  </sheets>
  <externalReferences>
    <externalReference r:id="rId7"/>
  </externalReferences>
  <definedNames>
    <definedName name="_xlnm._FilterDatabase" localSheetId="0" hidden="1">'Circulatory Diseases Mortality'!$A$1:$AB$11</definedName>
    <definedName name="_xlnm._FilterDatabase" localSheetId="1" hidden="1">Hospitalization!$A$1:$AB$13</definedName>
    <definedName name="_xlnm._FilterDatabase" localSheetId="2" hidden="1">'all-cause mortality'!$A$1:$AH$24</definedName>
    <definedName name="_xlnm._FilterDatabase" localSheetId="3" hidden="1">'Circulatory Diseases Morbidity'!$A$1:$AB$7</definedName>
    <definedName name="_xlnm._FilterDatabase" localSheetId="4" hidden="1">'Respiratory Diseases Morbidity'!$A$1:$AB$5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4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5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6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sharedStrings.xml><?xml version="1.0" encoding="utf-8"?>
<sst xmlns="http://schemas.openxmlformats.org/spreadsheetml/2006/main" count="1069" uniqueCount="221">
  <si>
    <t>Study</t>
  </si>
  <si>
    <t>ID</t>
  </si>
  <si>
    <t>title</t>
  </si>
  <si>
    <t>year</t>
  </si>
  <si>
    <t>Author/Year</t>
  </si>
  <si>
    <t>age</t>
  </si>
  <si>
    <t>Country/Location</t>
  </si>
  <si>
    <t>Continent</t>
  </si>
  <si>
    <t>ClimateZone</t>
  </si>
  <si>
    <t>IncomeGroup</t>
  </si>
  <si>
    <t>Events/(total)</t>
  </si>
  <si>
    <t>Sex (Male Proportion)</t>
  </si>
  <si>
    <r>
      <rPr>
        <sz val="11"/>
        <color rgb="FF000000"/>
        <rFont val="Times New Roman"/>
        <charset val="134"/>
      </rPr>
      <t>Study design (cross-section/ cohort/ RCT</t>
    </r>
    <r>
      <rPr>
        <sz val="11"/>
        <color rgb="FF000000"/>
        <rFont val="等线"/>
        <charset val="134"/>
      </rPr>
      <t>）</t>
    </r>
  </si>
  <si>
    <t>Exposure Time Period</t>
  </si>
  <si>
    <t>Temperature measure/source</t>
  </si>
  <si>
    <t>Definiton of climate change</t>
  </si>
  <si>
    <t>Definition of temperature</t>
  </si>
  <si>
    <t>Comparison</t>
  </si>
  <si>
    <t>Lag Time</t>
  </si>
  <si>
    <t>Lagmid</t>
  </si>
  <si>
    <t>LagTape</t>
  </si>
  <si>
    <t>Outcome</t>
  </si>
  <si>
    <t>Metric</t>
  </si>
  <si>
    <t>effect</t>
  </si>
  <si>
    <t>lci</t>
  </si>
  <si>
    <t>uci</t>
  </si>
  <si>
    <t>Effects of extreme temperature events on deaths and its interaction with air pollution</t>
  </si>
  <si>
    <t>Chuanlong Cheng, et</t>
  </si>
  <si>
    <t>≥ 65y</t>
  </si>
  <si>
    <t>Zibo, China</t>
  </si>
  <si>
    <t>Asia</t>
  </si>
  <si>
    <t>Continental Monsoon</t>
  </si>
  <si>
    <t>Upper-middle income</t>
  </si>
  <si>
    <t>time-series study</t>
  </si>
  <si>
    <t>daily mean temperature &gt;7.5th percentile for &gt;=2 days</t>
  </si>
  <si>
    <t>cold spell</t>
  </si>
  <si>
    <t>0-21</t>
  </si>
  <si>
    <t>Cumulative Effect</t>
  </si>
  <si>
    <t>Cardiovascular deaths</t>
  </si>
  <si>
    <t>circulatory system diseases mortality</t>
  </si>
  <si>
    <t>RR</t>
  </si>
  <si>
    <t>Jinan, China</t>
  </si>
  <si>
    <t>case-crossover study</t>
  </si>
  <si>
    <t>M11: daily mean temperatures &lt;= 3rd percentiles  for &gt;=4 consecutive days</t>
  </si>
  <si>
    <t>0-8</t>
  </si>
  <si>
    <t xml:space="preserve">circulatory disease death </t>
  </si>
  <si>
    <t>OR</t>
  </si>
  <si>
    <t>Shenzhen, China</t>
  </si>
  <si>
    <t>Humid Subtropical</t>
  </si>
  <si>
    <t xml:space="preserve">cold spell </t>
  </si>
  <si>
    <t>0-14</t>
  </si>
  <si>
    <t>Yakutsk, Russia</t>
  </si>
  <si>
    <t>Humid Continental</t>
  </si>
  <si>
    <t>at least 9 consecutive days with daily mean temperatures below the 3rd percentile, of which at least 3 days had daily mean temperatures below the 1st percentile.</t>
  </si>
  <si>
    <t>0-20</t>
  </si>
  <si>
    <t>ischemic (or coronary) heart disease (IHD) death</t>
  </si>
  <si>
    <t>cerebrovascular diseases (CVD) death</t>
  </si>
  <si>
    <t>Risk of sudden cardiac death in relation to season-specific cold spells: A case-crossover study in Finland</t>
  </si>
  <si>
    <t>Niilo R I Ryti, et</t>
  </si>
  <si>
    <t>Oulu, Finland</t>
  </si>
  <si>
    <t>Europe</t>
  </si>
  <si>
    <t>High income</t>
  </si>
  <si>
    <t>Finnish Meteorological Institute</t>
  </si>
  <si>
    <t>≥3 consecutive days with daily minimum over the study period 1961–2011temperature below the fifth percentile</t>
  </si>
  <si>
    <t>Instant Effect</t>
  </si>
  <si>
    <t>Sudden cardiac death (SCD)</t>
  </si>
  <si>
    <t>Anhui,China</t>
  </si>
  <si>
    <t>Anhui, China</t>
  </si>
  <si>
    <t>64056(total)</t>
  </si>
  <si>
    <t xml:space="preserve"> </t>
  </si>
  <si>
    <t>2016-2020</t>
  </si>
  <si>
    <t>European Reanalysis Land (ERA5-Land)</t>
  </si>
  <si>
    <t>≤2.5th percentile of temperature, for ≥4 days</t>
  </si>
  <si>
    <t>For each case, the date of death was the case day, and 3 or 4 control days were matched by day of the week within the same month, year, and township</t>
  </si>
  <si>
    <t>0-4</t>
  </si>
  <si>
    <t xml:space="preserve"> acute myocardial infarction mortality  </t>
  </si>
  <si>
    <t>≥ 75 y</t>
  </si>
  <si>
    <t>Hunan, China</t>
  </si>
  <si>
    <t>552960(total)</t>
  </si>
  <si>
    <t>2018-2022</t>
  </si>
  <si>
    <t>National centers for environmental information</t>
  </si>
  <si>
    <t>5th percentile of daily mean temperature ,for ≥ 4 consecutive day</t>
  </si>
  <si>
    <t>0-7</t>
  </si>
  <si>
    <t>CVD Mortality</t>
  </si>
  <si>
    <t xml:space="preserve"> circulatory system diseases mortality</t>
  </si>
  <si>
    <t>Cold spell and mortality in 31 Chinese capital cities: Definitions, vulnerability and implications</t>
  </si>
  <si>
    <r>
      <rPr>
        <sz val="11"/>
        <color rgb="FF000000"/>
        <rFont val="Times New Roman"/>
        <charset val="134"/>
      </rPr>
      <t>Jinjian Chen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et</t>
    </r>
  </si>
  <si>
    <t>65-74 y</t>
  </si>
  <si>
    <t>China</t>
  </si>
  <si>
    <t>NA</t>
  </si>
  <si>
    <t>cross-sectional study</t>
  </si>
  <si>
    <t>China Meteorological Administration (CMA)</t>
  </si>
  <si>
    <t xml:space="preserve"> 19 definitions of cold spell: 3 definitions from the ChinaMeteorological Administration (CMA) and 16 definitions by combining 2 temperature indicators (daily minimum and mean temperature), 2 temperature thresholds (3rd and 5th percentile) and 4 durations of atleast 2-5 days</t>
  </si>
  <si>
    <t>0-27</t>
  </si>
  <si>
    <r>
      <rPr>
        <sz val="11"/>
        <rFont val="Times New Roman"/>
        <charset val="134"/>
      </rPr>
      <t>Study design (cross-section/ cohort/ RCT</t>
    </r>
    <r>
      <rPr>
        <sz val="11"/>
        <rFont val="等线"/>
        <charset val="134"/>
      </rPr>
      <t>）</t>
    </r>
  </si>
  <si>
    <t>Beijing, China</t>
  </si>
  <si>
    <t>asthma hospital admissions</t>
  </si>
  <si>
    <t>hospitalization</t>
  </si>
  <si>
    <t>≥ 60y</t>
  </si>
  <si>
    <t>mean temperature less than 10th percentile &gt;=2d</t>
  </si>
  <si>
    <t>0-6</t>
  </si>
  <si>
    <t xml:space="preserve"> asthma hospital visits</t>
  </si>
  <si>
    <t>Hefei, China</t>
  </si>
  <si>
    <t>the daily mean temperature below the 10th, 5th or 3rd percentile for at least 2, 3 or 4 consecutive days in cold season</t>
  </si>
  <si>
    <t xml:space="preserve">ischemic stroke admissions </t>
  </si>
  <si>
    <t>Associations between cold spells and hospital admission and mortality due to diabetes: A nationwide multi-region time-series study in Korea</t>
  </si>
  <si>
    <t>Kyoung-Nam Kim</t>
  </si>
  <si>
    <t>Korea</t>
  </si>
  <si>
    <t>South Korea</t>
  </si>
  <si>
    <t> Korean Meteorological Administration</t>
  </si>
  <si>
    <t xml:space="preserve">2 consecutive days ,daily mean temperature lower than the region-specific 5th percentile of the daily mean temperature between November and March during the study period (2010–2019) </t>
  </si>
  <si>
    <t xml:space="preserve">diabetes hospital admission </t>
  </si>
  <si>
    <t>Associations of cold exposure with hospital admission and mortality due to acute kidney injury: A nationwide time-series study in Korea</t>
  </si>
  <si>
    <t>≥2 consecutive days with &lt;5th percentile of daily mean temperature</t>
  </si>
  <si>
    <t xml:space="preserve">acute kidney injury  hospital admission </t>
  </si>
  <si>
    <t>daily mean temperature ≤10th percentile (−6℃ for at least 4 consecutive days</t>
  </si>
  <si>
    <t>hospitalization of acute exacerbation of chronic obstructive pulmonary disease (AECOPD</t>
  </si>
  <si>
    <t>Catalonia, Spain</t>
  </si>
  <si>
    <t>Spain</t>
  </si>
  <si>
    <t>Mediterranean</t>
  </si>
  <si>
    <t>cardiovascular emergency hospitalizations</t>
  </si>
  <si>
    <t>IRR</t>
  </si>
  <si>
    <t>Mixed</t>
  </si>
  <si>
    <t>2nd  percentiles of each city's temperature distribution for 4 consecutive days</t>
  </si>
  <si>
    <t>1-42</t>
  </si>
  <si>
    <t xml:space="preserve">daily hospital admissions for pneumonia  </t>
  </si>
  <si>
    <t>&lt;5th percentile of temperature &gt;=2 or 3 or 4 consecutive days</t>
  </si>
  <si>
    <t>0-10</t>
  </si>
  <si>
    <t>All diseases hospitalization</t>
  </si>
  <si>
    <t>75-84 y</t>
  </si>
  <si>
    <t>≥ 85 y</t>
  </si>
  <si>
    <t>标准化地点</t>
  </si>
  <si>
    <t>Comparability</t>
  </si>
  <si>
    <t>SCORE/8</t>
  </si>
  <si>
    <t>All diseases mortality (1st temperature percentile vs the minimum mortality temperature)</t>
  </si>
  <si>
    <t>all-cause mortality</t>
  </si>
  <si>
    <t>non-accidental mortality</t>
  </si>
  <si>
    <t>Non-accidental deaths:144310;cardiovascular deaths :77821;respiratory deaths:11767</t>
  </si>
  <si>
    <t>European Centre for Medium-Range Weather Forecasts (ECMWF) for Fifth Generation ECMWF Reanalysis (ERA5)</t>
  </si>
  <si>
    <t>Non-accidental deaths</t>
  </si>
  <si>
    <t>The impact of the 2008 cold spell on mortality in Shanghai, China</t>
  </si>
  <si>
    <t>Ma W</t>
  </si>
  <si>
    <t>Shanghai, China</t>
  </si>
  <si>
    <t xml:space="preserve">fix-site station located in the Xuhui District of Shanghai </t>
  </si>
  <si>
    <t>daily average temperature below the 3rd percentile of temperature distribution for at least seven consecutive days</t>
  </si>
  <si>
    <t>Non-accidental death</t>
  </si>
  <si>
    <t>≥ 70 y</t>
  </si>
  <si>
    <t>England</t>
  </si>
  <si>
    <t>UK</t>
  </si>
  <si>
    <t>Oceanic</t>
  </si>
  <si>
    <t>4 + days, below the 10th percentile for that geographical location for the specific month of the year</t>
  </si>
  <si>
    <t>Death</t>
  </si>
  <si>
    <t>The impact of cold spells on mortality and effect modification by cold spell characteristics</t>
  </si>
  <si>
    <t>Wang L et al.</t>
  </si>
  <si>
    <t>63966(total)</t>
  </si>
  <si>
    <t>China Meteorological Data Sharing Service System network</t>
  </si>
  <si>
    <t>below 5th of  mean daily temperature for &gt;= 2 consecutive days</t>
  </si>
  <si>
    <t>non-accidental mortality(2 days)</t>
  </si>
  <si>
    <t>Short-term effects of the 2008 cold spell on mortality in three subtropical cities in Guangdong Province, China</t>
  </si>
  <si>
    <t> Huiyan Xie</t>
  </si>
  <si>
    <t>Guangzhou, China</t>
  </si>
  <si>
    <t xml:space="preserve"> Cohort Study</t>
  </si>
  <si>
    <t> local meteorological bureaus of each city</t>
  </si>
  <si>
    <t>the minimum daily temperature fell below the 5th percentile of temperatures recorded at that location from January 2006 through December 2009 for at least 5 consecutive days</t>
  </si>
  <si>
    <t>mortality </t>
  </si>
  <si>
    <t>Nanxiong, China</t>
  </si>
  <si>
    <t>Taishan, China</t>
  </si>
  <si>
    <t>[Acute impact of cold spells on mortality during 2001-2011 in Jiang'an district of Wuhan, China]</t>
  </si>
  <si>
    <t>Y Q Zhang</t>
  </si>
  <si>
    <t>9 403</t>
  </si>
  <si>
    <t>China National Meteorological Center</t>
  </si>
  <si>
    <t>average daily temperature≤5th percentage (2.58 ℃) of the average daily temperature during the study period, ≥5 days</t>
  </si>
  <si>
    <t>mortality</t>
  </si>
  <si>
    <t>Ageing-related functional and cognitive impairments and cold mortality risk: a longitudinal cohort study in China</t>
  </si>
  <si>
    <t>Di Xi 2025</t>
  </si>
  <si>
    <t>65-79</t>
  </si>
  <si>
    <t>2008-2018</t>
  </si>
  <si>
    <t>ECMWF atmospheric reanalysis dataset (ERA5)</t>
  </si>
  <si>
    <t xml:space="preserve"> ≤ 5th percentiles daily mean temperature,  for 2 consecutive days</t>
  </si>
  <si>
    <t>Non-cold spell days</t>
  </si>
  <si>
    <t>0-3</t>
  </si>
  <si>
    <t>HR</t>
  </si>
  <si>
    <t>80-89</t>
  </si>
  <si>
    <t>90-99</t>
  </si>
  <si>
    <t>100+</t>
  </si>
  <si>
    <r>
      <t>Study design (cross-section/ cohort/ RCT</t>
    </r>
    <r>
      <rPr>
        <sz val="11"/>
        <rFont val="等线"/>
        <charset val="134"/>
      </rPr>
      <t>）</t>
    </r>
  </si>
  <si>
    <t>Circulatory system diseases Morbidity (1st temperature percentile vs the minimum morbidity temperature)</t>
  </si>
  <si>
    <t>circulatory system diseases morbidity</t>
  </si>
  <si>
    <t>Association between winter cold spells and acute myocardial infarction in Lithuania 2000-2015</t>
  </si>
  <si>
    <t>Vaičiulis V</t>
  </si>
  <si>
    <t>Lithuania</t>
  </si>
  <si>
    <t>Kaunas monitoring station</t>
  </si>
  <si>
    <t>mean temperature below the 5th percentile of the frequency distribution,≥1 consecutive days in the week</t>
  </si>
  <si>
    <t>acute myocardial infarction(AMI)</t>
  </si>
  <si>
    <t xml:space="preserve"> circulatory system diseases morbidity</t>
  </si>
  <si>
    <t xml:space="preserve">Short-Term Effects of Lower Air Temperature and Cold Spells on Myocardial Infarction Hospitalizations in Sweden </t>
  </si>
  <si>
    <t>Ni W 2024</t>
  </si>
  <si>
    <t>≥65 y</t>
  </si>
  <si>
    <t>Sweden</t>
  </si>
  <si>
    <t>84004/120380</t>
  </si>
  <si>
    <t>2005-2019 (Cold seasons: Oct-Mar)</t>
  </si>
  <si>
    <t xml:space="preserve">Machine learning model using satellite data, station measurements, and land-use information </t>
  </si>
  <si>
    <t>Periods of at least 2 consecutive days with a daily mean temperature below the 10th percentile of the municipality-specific temperature distribution</t>
  </si>
  <si>
    <t>2-6</t>
  </si>
  <si>
    <t>First Myocardial Infarction</t>
  </si>
  <si>
    <t>Recurrent Myocardial Infarction</t>
  </si>
  <si>
    <t>Respiratory system diseases Morbidity (1st temperature percentile vs the minimum morbidity temperature)</t>
  </si>
  <si>
    <t>respiratory system diseases morbidity</t>
  </si>
  <si>
    <t>Lanzhou, China</t>
  </si>
  <si>
    <t>Semi-arid</t>
  </si>
  <si>
    <t>25995(total)</t>
  </si>
  <si>
    <t>2017-2020</t>
  </si>
  <si>
    <t>China Meteorological Data Network</t>
  </si>
  <si>
    <t>10th percentile of the daily minimum Apparent temperature (AT),for ≥4 days</t>
  </si>
  <si>
    <t>asthma outpatient visits</t>
  </si>
  <si>
    <t>Respiratory deaths</t>
  </si>
  <si>
    <t>respiratory system diseases mortality</t>
  </si>
  <si>
    <t>daily mean temperature below 7.5th for 2 or more consecutive days</t>
  </si>
  <si>
    <t>0-28</t>
  </si>
  <si>
    <t xml:space="preserve">Respiratory mortality </t>
  </si>
  <si>
    <r>
      <t>Jinjian Chen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et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</si>
</sst>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name val="等线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000000"/>
      <name val="等线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3" borderId="5">
      <alignment vertical="center"/>
    </xf>
    <xf numFmtId="0" fontId="15" fillId="4" borderId="6">
      <alignment vertical="center"/>
    </xf>
    <xf numFmtId="0" fontId="16" fillId="4" borderId="5">
      <alignment vertical="center"/>
    </xf>
    <xf numFmtId="0" fontId="17" fillId="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32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righ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Alignment="1">
      <alignment vertical="center"/>
    </xf>
    <xf numFmtId="176" fontId="5" fillId="0" borderId="0" xfId="0" applyNumberFormat="1" applyFont="1" applyFill="1" applyAlignment="1" quotePrefix="1">
      <alignment horizontal="right" vertical="center"/>
    </xf>
    <xf numFmtId="176" fontId="2" fillId="0" borderId="0" xfId="0" applyNumberFormat="1" applyFont="1" applyFill="1" applyAlignment="1" quotePrefix="1">
      <alignment horizontal="right" vertical="center"/>
    </xf>
    <xf numFmtId="0" fontId="2" fillId="0" borderId="0" xfId="0" applyFont="1" applyFill="1" applyAlignment="1" quotePrefix="1">
      <alignment vertical="center"/>
    </xf>
    <xf numFmtId="176" fontId="2" fillId="0" borderId="0" xfId="0" applyNumberFormat="1" applyFont="1" applyFill="1" applyAlignment="1" quotePrefix="1">
      <alignment horizontal="right" vertical="center"/>
    </xf>
    <xf numFmtId="0" fontId="2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668;&#20505;version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rticles"/>
      <sheetName val="Sheet1"/>
    </sheetNames>
    <sheetDataSet>
      <sheetData sheetId="0"/>
      <sheetData sheetId="1">
        <row r="1">
          <cell r="A1" t="str">
            <v>不确定的可以空着其实</v>
          </cell>
          <cell r="B1" t="str">
            <v>Standardized Location</v>
          </cell>
          <cell r="C1" t="str">
            <v>Continent</v>
          </cell>
          <cell r="D1" t="str">
            <v>Refined Climate Zone</v>
          </cell>
          <cell r="E1" t="str">
            <v>Income Level</v>
          </cell>
        </row>
        <row r="2">
          <cell r="A2" t="str">
            <v>--- China ---</v>
          </cell>
          <cell r="B2" t="str">
            <v>  </v>
          </cell>
          <cell r="C2" t="str">
            <v>  </v>
          </cell>
          <cell r="D2" t="str">
            <v>  </v>
          </cell>
          <cell r="E2" t="str">
            <v>  </v>
          </cell>
        </row>
        <row r="3">
          <cell r="A3" t="str">
            <v>China</v>
          </cell>
          <cell r="B3" t="str">
            <v>China</v>
          </cell>
          <cell r="C3" t="str">
            <v>Asia</v>
          </cell>
          <cell r="D3" t="str">
            <v>Mixed</v>
          </cell>
          <cell r="E3" t="str">
            <v>Upper-middle income</v>
          </cell>
        </row>
        <row r="4">
          <cell r="A4" t="str">
            <v>China (National)</v>
          </cell>
          <cell r="B4" t="str">
            <v>China</v>
          </cell>
          <cell r="C4" t="str">
            <v>Asia</v>
          </cell>
          <cell r="D4" t="str">
            <v>Mixed</v>
          </cell>
          <cell r="E4" t="str">
            <v>Upper-middle income</v>
          </cell>
        </row>
        <row r="5">
          <cell r="A5" t="str">
            <v>Beijing, China</v>
          </cell>
          <cell r="B5" t="str">
            <v>Beijing, China</v>
          </cell>
          <cell r="C5" t="str">
            <v>Asia</v>
          </cell>
          <cell r="D5" t="str">
            <v>Continental Monsoon</v>
          </cell>
          <cell r="E5" t="str">
            <v>Upper-middle income</v>
          </cell>
        </row>
        <row r="6">
          <cell r="A6" t="str">
            <v>Tianjin, China</v>
          </cell>
          <cell r="B6" t="str">
            <v>Tianjin, China</v>
          </cell>
          <cell r="C6" t="str">
            <v>Asia</v>
          </cell>
          <cell r="D6" t="str">
            <v>Continental Monsoon</v>
          </cell>
          <cell r="E6" t="str">
            <v>Upper-middle income</v>
          </cell>
        </row>
        <row r="7">
          <cell r="A7" t="str">
            <v>Harbin, China</v>
          </cell>
          <cell r="B7" t="str">
            <v>Harbin, China</v>
          </cell>
          <cell r="C7" t="str">
            <v>Asia</v>
          </cell>
          <cell r="D7" t="str">
            <v>Continental Monsoon</v>
          </cell>
          <cell r="E7" t="str">
            <v>Upper-middle income</v>
          </cell>
        </row>
        <row r="8">
          <cell r="A8" t="str">
            <v>Changchun, China</v>
          </cell>
          <cell r="B8" t="str">
            <v>Changchun, China</v>
          </cell>
          <cell r="C8" t="str">
            <v>Asia</v>
          </cell>
          <cell r="D8" t="str">
            <v>Continental Monsoon</v>
          </cell>
          <cell r="E8" t="str">
            <v>Upper-middle income</v>
          </cell>
        </row>
        <row r="9">
          <cell r="A9" t="str">
            <v>Jinan, China</v>
          </cell>
          <cell r="B9" t="str">
            <v>Jinan, China</v>
          </cell>
          <cell r="C9" t="str">
            <v>Asia</v>
          </cell>
          <cell r="D9" t="str">
            <v>Continental Monsoon</v>
          </cell>
          <cell r="E9" t="str">
            <v>Upper-middle income</v>
          </cell>
        </row>
        <row r="10">
          <cell r="A10" t="str">
            <v>Zibo, China</v>
          </cell>
          <cell r="B10" t="str">
            <v>Zibo, China</v>
          </cell>
          <cell r="C10" t="str">
            <v>Asia</v>
          </cell>
          <cell r="D10" t="str">
            <v>Continental Monsoon</v>
          </cell>
          <cell r="E10" t="str">
            <v>Upper-middle income</v>
          </cell>
        </row>
        <row r="11">
          <cell r="A11" t="str">
            <v>Shandong, China</v>
          </cell>
          <cell r="B11" t="str">
            <v>Shandong Province</v>
          </cell>
          <cell r="C11" t="str">
            <v>Asia</v>
          </cell>
          <cell r="D11" t="str">
            <v>Continental Monsoon</v>
          </cell>
          <cell r="E11" t="str">
            <v>Upper-middle income</v>
          </cell>
        </row>
        <row r="12">
          <cell r="A12" t="str">
            <v>Shanghai, China</v>
          </cell>
          <cell r="B12" t="str">
            <v>Shanghai, China</v>
          </cell>
          <cell r="C12" t="str">
            <v>Asia</v>
          </cell>
          <cell r="D12" t="str">
            <v>Humid Subtropical</v>
          </cell>
          <cell r="E12" t="str">
            <v>Upper-middle income</v>
          </cell>
        </row>
        <row r="13">
          <cell r="A13" t="str">
            <v>Shenzhen, China</v>
          </cell>
          <cell r="B13" t="str">
            <v>Shenzhen, China</v>
          </cell>
          <cell r="C13" t="str">
            <v>Asia</v>
          </cell>
          <cell r="D13" t="str">
            <v>Humid Subtropical</v>
          </cell>
          <cell r="E13" t="str">
            <v>Upper-middle income</v>
          </cell>
        </row>
        <row r="14">
          <cell r="A14" t="str">
            <v>Guangzhou, China</v>
          </cell>
          <cell r="B14" t="str">
            <v>Guangzhou, China</v>
          </cell>
          <cell r="C14" t="str">
            <v>Asia</v>
          </cell>
          <cell r="D14" t="str">
            <v>Humid Subtropical</v>
          </cell>
          <cell r="E14" t="str">
            <v>Upper-middle income</v>
          </cell>
        </row>
        <row r="15">
          <cell r="A15" t="str">
            <v>Hong Kong, China</v>
          </cell>
          <cell r="B15" t="str">
            <v>Hong Kong, China</v>
          </cell>
          <cell r="C15" t="str">
            <v>Asia</v>
          </cell>
          <cell r="D15" t="str">
            <v>Humid Subtropical</v>
          </cell>
          <cell r="E15" t="str">
            <v>High income</v>
          </cell>
        </row>
        <row r="16">
          <cell r="A16" t="str">
            <v>Nanjing, China</v>
          </cell>
          <cell r="B16" t="str">
            <v>Nanjing, China</v>
          </cell>
          <cell r="C16" t="str">
            <v>Asia</v>
          </cell>
          <cell r="D16" t="str">
            <v>Humid Subtropical</v>
          </cell>
          <cell r="E16" t="str">
            <v>Upper-middle income</v>
          </cell>
        </row>
        <row r="17">
          <cell r="A17" t="str">
            <v>Suzhou, China</v>
          </cell>
          <cell r="B17" t="str">
            <v>Suzhou, China</v>
          </cell>
          <cell r="C17" t="str">
            <v>Asia</v>
          </cell>
          <cell r="D17" t="str">
            <v>Humid Subtropical</v>
          </cell>
          <cell r="E17" t="str">
            <v>Upper-middle income</v>
          </cell>
        </row>
        <row r="18">
          <cell r="A18" t="str">
            <v>Hefei, China</v>
          </cell>
          <cell r="B18" t="str">
            <v>Hefei, China</v>
          </cell>
          <cell r="C18" t="str">
            <v>Asia</v>
          </cell>
          <cell r="D18" t="str">
            <v>Humid Subtropical</v>
          </cell>
          <cell r="E18" t="str">
            <v>Upper-middle income</v>
          </cell>
        </row>
        <row r="19">
          <cell r="A19" t="str">
            <v>Wuxi,China</v>
          </cell>
          <cell r="B19" t="str">
            <v>Wuxi, China</v>
          </cell>
          <cell r="C19" t="str">
            <v>Asia</v>
          </cell>
          <cell r="D19" t="str">
            <v>Humid Subtropical</v>
          </cell>
          <cell r="E19" t="str">
            <v>Upper-middle income</v>
          </cell>
        </row>
        <row r="20">
          <cell r="A20" t="str">
            <v>Yancheng, China</v>
          </cell>
          <cell r="B20" t="str">
            <v>Yancheng, China</v>
          </cell>
          <cell r="C20" t="str">
            <v>Asia</v>
          </cell>
          <cell r="D20" t="str">
            <v>Humid Subtropical</v>
          </cell>
          <cell r="E20" t="str">
            <v>Upper-middle income</v>
          </cell>
        </row>
        <row r="21">
          <cell r="A21" t="str">
            <v>Ningbo, China</v>
          </cell>
          <cell r="B21" t="str">
            <v>Ningbo, China</v>
          </cell>
          <cell r="C21" t="str">
            <v>Asia</v>
          </cell>
          <cell r="D21" t="str">
            <v>Humid Subtropical</v>
          </cell>
          <cell r="E21" t="str">
            <v>Upper-middle income</v>
          </cell>
        </row>
        <row r="22">
          <cell r="A22" t="str">
            <v>Jiangsu, China</v>
          </cell>
          <cell r="B22" t="str">
            <v>Jiangsu Province</v>
          </cell>
          <cell r="C22" t="str">
            <v>Asia</v>
          </cell>
          <cell r="D22" t="str">
            <v>Humid Subtropical</v>
          </cell>
          <cell r="E22" t="str">
            <v>Upper-middle income</v>
          </cell>
        </row>
        <row r="23">
          <cell r="A23" t="str">
            <v>Yuxi, China</v>
          </cell>
          <cell r="B23" t="str">
            <v>Yuxi, China</v>
          </cell>
          <cell r="C23" t="str">
            <v>Asia</v>
          </cell>
          <cell r="D23" t="str">
            <v>Humid Subtropical</v>
          </cell>
          <cell r="E23" t="str">
            <v>Upper-middle income</v>
          </cell>
        </row>
        <row r="24">
          <cell r="A24" t="str">
            <v>Guiyang, China</v>
          </cell>
          <cell r="B24" t="str">
            <v>Guiyang, China</v>
          </cell>
          <cell r="C24" t="str">
            <v>Asia</v>
          </cell>
          <cell r="D24" t="str">
            <v>Humid Subtropical</v>
          </cell>
          <cell r="E24" t="str">
            <v>Upper-middle income</v>
          </cell>
        </row>
        <row r="25">
          <cell r="A25" t="str">
            <v>Panzhihua, China</v>
          </cell>
          <cell r="B25" t="str">
            <v>Panzhihua, China</v>
          </cell>
          <cell r="C25" t="str">
            <v>Asia</v>
          </cell>
          <cell r="D25" t="str">
            <v>Humid Subtropical</v>
          </cell>
          <cell r="E25" t="str">
            <v>Upper-middle income</v>
          </cell>
        </row>
        <row r="26">
          <cell r="A26" t="str">
            <v>Lanzhou, China</v>
          </cell>
          <cell r="B26" t="str">
            <v>Lanzhou, China</v>
          </cell>
          <cell r="C26" t="str">
            <v>Asia</v>
          </cell>
          <cell r="D26" t="str">
            <v>Semi-arid</v>
          </cell>
          <cell r="E26" t="str">
            <v>Upper-middle income</v>
          </cell>
        </row>
        <row r="27">
          <cell r="A27" t="str">
            <v>Zhangye, China</v>
          </cell>
          <cell r="B27" t="str">
            <v>Zhangye, China</v>
          </cell>
          <cell r="C27" t="str">
            <v>Asia</v>
          </cell>
          <cell r="D27" t="str">
            <v>Arid</v>
          </cell>
          <cell r="E27" t="str">
            <v>Upper-middle income</v>
          </cell>
        </row>
        <row r="28">
          <cell r="A28" t="str">
            <v>Jiuquan, China</v>
          </cell>
          <cell r="B28" t="str">
            <v>Jiuquan, China</v>
          </cell>
          <cell r="C28" t="str">
            <v>Asia</v>
          </cell>
          <cell r="D28" t="str">
            <v>Arid</v>
          </cell>
          <cell r="E28" t="str">
            <v>Upper-middle income</v>
          </cell>
        </row>
        <row r="29">
          <cell r="A29" t="str">
            <v>Wuwei, China</v>
          </cell>
          <cell r="B29" t="str">
            <v>Wuwei, China</v>
          </cell>
          <cell r="C29" t="str">
            <v>Asia</v>
          </cell>
          <cell r="D29" t="str">
            <v>Arid</v>
          </cell>
          <cell r="E29" t="str">
            <v>Upper-middle income</v>
          </cell>
        </row>
        <row r="30">
          <cell r="A30" t="str">
            <v>Longnan, China</v>
          </cell>
          <cell r="B30" t="str">
            <v>Longnan, China</v>
          </cell>
          <cell r="C30" t="str">
            <v>Asia</v>
          </cell>
          <cell r="D30" t="str">
            <v>Humid Subtropical</v>
          </cell>
          <cell r="E30" t="str">
            <v>Upper-middle income</v>
          </cell>
        </row>
        <row r="31">
          <cell r="A31" t="str">
            <v>Chengguan</v>
          </cell>
          <cell r="B31" t="str">
            <v>Lhasa, China</v>
          </cell>
          <cell r="C31" t="str">
            <v>Asia</v>
          </cell>
          <cell r="D31" t="str">
            <v>Continental Monsoon</v>
          </cell>
          <cell r="E31" t="str">
            <v>Upper-middle income</v>
          </cell>
        </row>
        <row r="32">
          <cell r="A32" t="str">
            <v>Naidong</v>
          </cell>
          <cell r="B32" t="str">
            <v>Tibet, China</v>
          </cell>
          <cell r="C32" t="str">
            <v>Asia</v>
          </cell>
          <cell r="D32" t="str">
            <v>Continental Monsoon</v>
          </cell>
          <cell r="E32" t="str">
            <v>Upper-middle income</v>
          </cell>
        </row>
        <row r="33">
          <cell r="A33" t="str">
            <v>Jiangzi</v>
          </cell>
          <cell r="B33" t="str">
            <v>Tibet, China</v>
          </cell>
          <cell r="C33" t="str">
            <v>Asia</v>
          </cell>
          <cell r="D33" t="str">
            <v>Continental Monsoon</v>
          </cell>
          <cell r="E33" t="str">
            <v>Upper-middle income</v>
          </cell>
        </row>
        <row r="34">
          <cell r="A34" t="str">
            <v>Taiwan, China</v>
          </cell>
          <cell r="B34" t="str">
            <v>Taiwan, China</v>
          </cell>
          <cell r="C34" t="str">
            <v>Asia</v>
          </cell>
          <cell r="D34" t="str">
            <v>Humid Subtropical</v>
          </cell>
          <cell r="E34" t="str">
            <v>Upper-middle income</v>
          </cell>
        </row>
        <row r="35">
          <cell r="A35" t="str">
            <v>--- Korea ---</v>
          </cell>
          <cell r="B35" t="str">
            <v>  </v>
          </cell>
          <cell r="C35" t="str">
            <v>  </v>
          </cell>
          <cell r="D35" t="str">
            <v>  </v>
          </cell>
          <cell r="E35" t="str">
            <v>  </v>
          </cell>
        </row>
        <row r="36">
          <cell r="A36" t="str">
            <v>Korea</v>
          </cell>
          <cell r="B36" t="str">
            <v>South Korea</v>
          </cell>
          <cell r="C36" t="str">
            <v>Asia</v>
          </cell>
          <cell r="D36" t="str">
            <v>Continental Monsoon</v>
          </cell>
          <cell r="E36" t="str">
            <v>High income</v>
          </cell>
        </row>
        <row r="37">
          <cell r="A37" t="str">
            <v>South Korea</v>
          </cell>
          <cell r="B37" t="str">
            <v>South Korea</v>
          </cell>
          <cell r="C37" t="str">
            <v>Asia</v>
          </cell>
          <cell r="D37" t="str">
            <v>Continental Monsoon</v>
          </cell>
          <cell r="E37" t="str">
            <v>High income</v>
          </cell>
        </row>
        <row r="38">
          <cell r="A38" t="str">
            <v>Seoul, Korea</v>
          </cell>
          <cell r="B38" t="str">
            <v>Seoul, South Korea</v>
          </cell>
          <cell r="C38" t="str">
            <v>Asia</v>
          </cell>
          <cell r="D38" t="str">
            <v>Continental Monsoon</v>
          </cell>
          <cell r="E38" t="str">
            <v>High income</v>
          </cell>
        </row>
        <row r="39">
          <cell r="A39" t="str">
            <v>Incheon</v>
          </cell>
          <cell r="B39" t="str">
            <v>Incheon, South Korea</v>
          </cell>
          <cell r="C39" t="str">
            <v>Asia</v>
          </cell>
          <cell r="D39" t="str">
            <v>Continental Monsoon</v>
          </cell>
          <cell r="E39" t="str">
            <v>High income</v>
          </cell>
        </row>
        <row r="40">
          <cell r="A40" t="str">
            <v>Daegu</v>
          </cell>
          <cell r="B40" t="str">
            <v>Daegu, South Korea</v>
          </cell>
          <cell r="C40" t="str">
            <v>Asia</v>
          </cell>
          <cell r="D40" t="str">
            <v>Humid Subtropical</v>
          </cell>
          <cell r="E40" t="str">
            <v>High income</v>
          </cell>
        </row>
        <row r="41">
          <cell r="A41" t="str">
            <v>Busan</v>
          </cell>
          <cell r="B41" t="str">
            <v>Busan, South Korea</v>
          </cell>
          <cell r="C41" t="str">
            <v>Asia</v>
          </cell>
          <cell r="D41" t="str">
            <v>Humid Subtropical</v>
          </cell>
          <cell r="E41" t="str">
            <v>High income</v>
          </cell>
        </row>
        <row r="42">
          <cell r="A42" t="str">
            <v>--- Other Asia ---</v>
          </cell>
          <cell r="B42" t="str">
            <v>  </v>
          </cell>
          <cell r="C42" t="str">
            <v>  </v>
          </cell>
          <cell r="D42" t="str">
            <v>  </v>
          </cell>
          <cell r="E42" t="str">
            <v>  </v>
          </cell>
        </row>
        <row r="43">
          <cell r="A43" t="str">
            <v>Japan</v>
          </cell>
          <cell r="B43" t="str">
            <v>Japan</v>
          </cell>
          <cell r="C43" t="str">
            <v>Asia</v>
          </cell>
          <cell r="D43" t="str">
            <v>Humid Subtropical</v>
          </cell>
          <cell r="E43" t="str">
            <v>High income</v>
          </cell>
        </row>
        <row r="44">
          <cell r="A44" t="str">
            <v>Okayama, Japan</v>
          </cell>
          <cell r="B44" t="str">
            <v>Okayama, Japan</v>
          </cell>
          <cell r="C44" t="str">
            <v>Asia</v>
          </cell>
          <cell r="D44" t="str">
            <v>Humid Subtropical</v>
          </cell>
          <cell r="E44" t="str">
            <v>High income</v>
          </cell>
        </row>
        <row r="45">
          <cell r="A45" t="str">
            <v>Fukuoka, Japan</v>
          </cell>
          <cell r="B45" t="str">
            <v>Fukuoka, Japan</v>
          </cell>
          <cell r="C45" t="str">
            <v>Asia</v>
          </cell>
          <cell r="D45" t="str">
            <v>Humid Subtropical</v>
          </cell>
          <cell r="E45" t="str">
            <v>High income</v>
          </cell>
        </row>
        <row r="46">
          <cell r="A46" t="str">
            <v>Tehran, Iran</v>
          </cell>
          <cell r="B46" t="str">
            <v>Tehran, Iran</v>
          </cell>
          <cell r="C46" t="str">
            <v>Asia</v>
          </cell>
          <cell r="D46" t="str">
            <v>Semi-arid</v>
          </cell>
          <cell r="E46" t="str">
            <v>Upper-middle income</v>
          </cell>
        </row>
        <row r="47">
          <cell r="A47" t="str">
            <v>Rasht, Iran</v>
          </cell>
          <cell r="B47" t="str">
            <v>Rasht, Iran</v>
          </cell>
          <cell r="C47" t="str">
            <v>Asia</v>
          </cell>
          <cell r="D47" t="str">
            <v>Humid Subtropical</v>
          </cell>
          <cell r="E47" t="str">
            <v>Upper-middle income</v>
          </cell>
        </row>
        <row r="48">
          <cell r="A48" t="str">
            <v>Khorasan, Iran</v>
          </cell>
          <cell r="B48" t="str">
            <v>Khorasan, Iran</v>
          </cell>
          <cell r="C48" t="str">
            <v>Asia</v>
          </cell>
          <cell r="D48" t="str">
            <v>Semi-arid</v>
          </cell>
          <cell r="E48" t="str">
            <v>Upper-middle income</v>
          </cell>
        </row>
        <row r="49">
          <cell r="A49" t="str">
            <v>Iran</v>
          </cell>
          <cell r="B49" t="str">
            <v>Iran</v>
          </cell>
          <cell r="C49" t="str">
            <v>Asia</v>
          </cell>
          <cell r="D49" t="str">
            <v>Arid</v>
          </cell>
          <cell r="E49" t="str">
            <v>Upper-middle income</v>
          </cell>
        </row>
        <row r="50">
          <cell r="A50" t="str">
            <v>Kuwait</v>
          </cell>
          <cell r="B50" t="str">
            <v>Kuwait</v>
          </cell>
          <cell r="C50" t="str">
            <v>Asia</v>
          </cell>
          <cell r="D50" t="str">
            <v>Arid</v>
          </cell>
          <cell r="E50" t="str">
            <v>High income</v>
          </cell>
        </row>
        <row r="51">
          <cell r="A51" t="str">
            <v>Israel</v>
          </cell>
          <cell r="B51" t="str">
            <v>Israel</v>
          </cell>
          <cell r="C51" t="str">
            <v>Asia</v>
          </cell>
          <cell r="D51" t="str">
            <v>Mediterranean</v>
          </cell>
          <cell r="E51" t="str">
            <v>High income</v>
          </cell>
        </row>
        <row r="52">
          <cell r="A52" t="str">
            <v>Istanbul, Turkey</v>
          </cell>
          <cell r="B52" t="str">
            <v>Istanbul, Turkey</v>
          </cell>
          <cell r="C52" t="str">
            <v>Asia</v>
          </cell>
          <cell r="D52" t="str">
            <v>Mediterranean</v>
          </cell>
          <cell r="E52" t="str">
            <v>Upper-middle income</v>
          </cell>
        </row>
        <row r="53">
          <cell r="A53" t="str">
            <v>Beirut, Mediterranean</v>
          </cell>
          <cell r="B53" t="str">
            <v>Beirut, Lebanon</v>
          </cell>
          <cell r="C53" t="str">
            <v>Asia</v>
          </cell>
          <cell r="D53" t="str">
            <v>Mediterranean</v>
          </cell>
          <cell r="E53" t="str">
            <v>Lower-middle income</v>
          </cell>
        </row>
        <row r="54">
          <cell r="A54" t="str">
            <v>Hanoi, Vietnam</v>
          </cell>
          <cell r="B54" t="str">
            <v>Hanoi, Vietnam</v>
          </cell>
          <cell r="C54" t="str">
            <v>Asia</v>
          </cell>
          <cell r="D54" t="str">
            <v>Humid Subtropical</v>
          </cell>
          <cell r="E54" t="str">
            <v>Lower-middle income</v>
          </cell>
        </row>
        <row r="55">
          <cell r="A55" t="str">
            <v>Ho Chi Minh City, Vietnam</v>
          </cell>
          <cell r="B55" t="str">
            <v>Ho Chi Minh City</v>
          </cell>
          <cell r="C55" t="str">
            <v>Asia</v>
          </cell>
          <cell r="D55" t="str">
            <v>Tropical</v>
          </cell>
          <cell r="E55" t="str">
            <v>Lower-middle income</v>
          </cell>
        </row>
        <row r="56">
          <cell r="A56" t="str">
            <v>Chiang Mai, Thailand</v>
          </cell>
          <cell r="B56" t="str">
            <v>Chiang Mai, Thailand</v>
          </cell>
          <cell r="C56" t="str">
            <v>Asia</v>
          </cell>
          <cell r="D56" t="str">
            <v>Tropical</v>
          </cell>
          <cell r="E56" t="str">
            <v>Upper-middle income</v>
          </cell>
        </row>
        <row r="57">
          <cell r="A57" t="str">
            <v>Vadu HDSS, India</v>
          </cell>
          <cell r="B57" t="str">
            <v>Pune, India</v>
          </cell>
          <cell r="C57" t="str">
            <v>Asia</v>
          </cell>
          <cell r="D57" t="str">
            <v>Semi-arid</v>
          </cell>
          <cell r="E57" t="str">
            <v>Lower-middle income</v>
          </cell>
        </row>
        <row r="58">
          <cell r="A58" t="str">
            <v>Varanasi, India</v>
          </cell>
          <cell r="B58" t="str">
            <v>Varanasi, India</v>
          </cell>
          <cell r="C58" t="str">
            <v>Asia</v>
          </cell>
          <cell r="D58" t="str">
            <v>Humid Subtropical</v>
          </cell>
          <cell r="E58" t="str">
            <v>Lower-middle income</v>
          </cell>
        </row>
        <row r="59">
          <cell r="A59" t="str">
            <v>Bangladesh, Matlab</v>
          </cell>
          <cell r="B59" t="str">
            <v>Matlab, Bangladesh</v>
          </cell>
          <cell r="C59" t="str">
            <v>Asia</v>
          </cell>
          <cell r="D59" t="str">
            <v>Tropical</v>
          </cell>
          <cell r="E59" t="str">
            <v>Lower-middle income</v>
          </cell>
        </row>
        <row r="60">
          <cell r="A60" t="str">
            <v>Yakutsk, Russia</v>
          </cell>
          <cell r="B60" t="str">
            <v>Yakutsk, Russia</v>
          </cell>
          <cell r="C60" t="str">
            <v>Asia</v>
          </cell>
          <cell r="D60" t="str">
            <v>Humid Continental</v>
          </cell>
          <cell r="E60" t="str">
            <v>Upper-middle income</v>
          </cell>
        </row>
        <row r="61">
          <cell r="A61" t="str">
            <v>--- Europe ---</v>
          </cell>
          <cell r="B61" t="str">
            <v>  </v>
          </cell>
          <cell r="C61" t="str">
            <v>  </v>
          </cell>
          <cell r="D61" t="str">
            <v>  </v>
          </cell>
          <cell r="E61" t="str">
            <v>  </v>
          </cell>
        </row>
        <row r="62">
          <cell r="A62" t="str">
            <v>London, England</v>
          </cell>
          <cell r="B62" t="str">
            <v>London, UK</v>
          </cell>
          <cell r="C62" t="str">
            <v>Europe</v>
          </cell>
          <cell r="D62" t="str">
            <v>Oceanic</v>
          </cell>
          <cell r="E62" t="str">
            <v>High income</v>
          </cell>
        </row>
        <row r="63">
          <cell r="A63" t="str">
            <v>England</v>
          </cell>
          <cell r="B63" t="str">
            <v>UK</v>
          </cell>
          <cell r="C63" t="str">
            <v>Europe</v>
          </cell>
          <cell r="D63" t="str">
            <v>Oceanic</v>
          </cell>
          <cell r="E63" t="str">
            <v>High income</v>
          </cell>
        </row>
        <row r="64">
          <cell r="A64" t="str">
            <v>England and Wales</v>
          </cell>
          <cell r="B64" t="str">
            <v>UK</v>
          </cell>
          <cell r="C64" t="str">
            <v>Europe</v>
          </cell>
          <cell r="D64" t="str">
            <v>Oceanic</v>
          </cell>
          <cell r="E64" t="str">
            <v>High income</v>
          </cell>
        </row>
        <row r="65">
          <cell r="A65" t="str">
            <v>West Midlands</v>
          </cell>
          <cell r="B65" t="str">
            <v>UK</v>
          </cell>
          <cell r="C65" t="str">
            <v>Europe</v>
          </cell>
          <cell r="D65" t="str">
            <v>Oceanic</v>
          </cell>
          <cell r="E65" t="str">
            <v>High income</v>
          </cell>
        </row>
        <row r="66">
          <cell r="A66" t="str">
            <v>Stockholm, Sweden</v>
          </cell>
          <cell r="B66" t="str">
            <v>Stockholm, Sweden</v>
          </cell>
          <cell r="C66" t="str">
            <v>Europe</v>
          </cell>
          <cell r="D66" t="str">
            <v>Humid Continental</v>
          </cell>
          <cell r="E66" t="str">
            <v>High income</v>
          </cell>
        </row>
        <row r="67">
          <cell r="A67" t="str">
            <v>Helsinki, Finland</v>
          </cell>
          <cell r="B67" t="str">
            <v>Helsinki, Finland</v>
          </cell>
          <cell r="C67" t="str">
            <v>Europe</v>
          </cell>
          <cell r="D67" t="str">
            <v>Humid Continental</v>
          </cell>
          <cell r="E67" t="str">
            <v>High income</v>
          </cell>
        </row>
        <row r="68">
          <cell r="A68" t="str">
            <v>Oulu, Finland</v>
          </cell>
          <cell r="B68" t="str">
            <v>Oulu, Finland</v>
          </cell>
          <cell r="C68" t="str">
            <v>Europe</v>
          </cell>
          <cell r="D68" t="str">
            <v>Humid Continental</v>
          </cell>
          <cell r="E68" t="str">
            <v>High income</v>
          </cell>
        </row>
        <row r="69">
          <cell r="A69" t="str">
            <v>Rome, Italy</v>
          </cell>
          <cell r="B69" t="str">
            <v>Rome, Italy</v>
          </cell>
          <cell r="C69" t="str">
            <v>Europe</v>
          </cell>
          <cell r="D69" t="str">
            <v>Mediterranean</v>
          </cell>
          <cell r="E69" t="str">
            <v>High income</v>
          </cell>
        </row>
        <row r="70">
          <cell r="A70" t="str">
            <v>Milan</v>
          </cell>
          <cell r="B70" t="str">
            <v>Milan, Italy</v>
          </cell>
          <cell r="C70" t="str">
            <v>Europe</v>
          </cell>
          <cell r="D70" t="str">
            <v>Humid Subtropical</v>
          </cell>
          <cell r="E70" t="str">
            <v>High income</v>
          </cell>
        </row>
        <row r="71">
          <cell r="A71" t="str">
            <v>Turin, Italy</v>
          </cell>
          <cell r="B71" t="str">
            <v>Turin, Italy</v>
          </cell>
          <cell r="C71" t="str">
            <v>Europe</v>
          </cell>
          <cell r="D71" t="str">
            <v>Humid Subtropical</v>
          </cell>
          <cell r="E71" t="str">
            <v>High income</v>
          </cell>
        </row>
        <row r="72">
          <cell r="A72" t="str">
            <v>Italy</v>
          </cell>
          <cell r="B72" t="str">
            <v>Italy</v>
          </cell>
          <cell r="C72" t="str">
            <v>Europe</v>
          </cell>
          <cell r="D72" t="str">
            <v>Mediterranean</v>
          </cell>
          <cell r="E72" t="str">
            <v>High income</v>
          </cell>
        </row>
        <row r="73">
          <cell r="A73" t="str">
            <v>Barcelona, Spain</v>
          </cell>
          <cell r="B73" t="str">
            <v>Barcelona, Spain</v>
          </cell>
          <cell r="C73" t="str">
            <v>Europe</v>
          </cell>
          <cell r="D73" t="str">
            <v>Mediterranean</v>
          </cell>
          <cell r="E73" t="str">
            <v>High income</v>
          </cell>
        </row>
        <row r="74">
          <cell r="A74" t="str">
            <v>Valencia</v>
          </cell>
          <cell r="B74" t="str">
            <v>Valencia, Spain</v>
          </cell>
          <cell r="C74" t="str">
            <v>Europe</v>
          </cell>
          <cell r="D74" t="str">
            <v>Mediterranean</v>
          </cell>
          <cell r="E74" t="str">
            <v>High income</v>
          </cell>
        </row>
        <row r="75">
          <cell r="A75" t="str">
            <v>Spain</v>
          </cell>
          <cell r="B75" t="str">
            <v>Spain</v>
          </cell>
          <cell r="C75" t="str">
            <v>Europe</v>
          </cell>
          <cell r="D75" t="str">
            <v>Mediterranean</v>
          </cell>
          <cell r="E75" t="str">
            <v>High income</v>
          </cell>
        </row>
        <row r="76">
          <cell r="A76" t="str">
            <v>Spain and the Balearic Islands</v>
          </cell>
          <cell r="B76" t="str">
            <v>Spain</v>
          </cell>
          <cell r="C76" t="str">
            <v>Europe</v>
          </cell>
          <cell r="D76" t="str">
            <v>Mediterranean</v>
          </cell>
          <cell r="E76" t="str">
            <v>High income</v>
          </cell>
        </row>
        <row r="77">
          <cell r="A77" t="str">
            <v>Lisbon, Portugal</v>
          </cell>
          <cell r="B77" t="str">
            <v>Lisbon, Portugal</v>
          </cell>
          <cell r="C77" t="str">
            <v>Europe</v>
          </cell>
          <cell r="D77" t="str">
            <v>Mediterranean</v>
          </cell>
          <cell r="E77" t="str">
            <v>High income</v>
          </cell>
        </row>
        <row r="78">
          <cell r="A78" t="str">
            <v>Oporto, Portugal</v>
          </cell>
          <cell r="B78" t="str">
            <v>Porto, Portugal</v>
          </cell>
          <cell r="C78" t="str">
            <v>Europe</v>
          </cell>
          <cell r="D78" t="str">
            <v>Mediterranean</v>
          </cell>
          <cell r="E78" t="str">
            <v>High income</v>
          </cell>
        </row>
        <row r="79">
          <cell r="A79" t="str">
            <v>Zurich</v>
          </cell>
          <cell r="B79" t="str">
            <v>Switzerland</v>
          </cell>
          <cell r="C79" t="str">
            <v>Europe</v>
          </cell>
          <cell r="D79" t="str">
            <v>Oceanic</v>
          </cell>
          <cell r="E79" t="str">
            <v>High income</v>
          </cell>
        </row>
        <row r="80">
          <cell r="A80" t="str">
            <v>Bern, Switzerland</v>
          </cell>
          <cell r="B80" t="str">
            <v>Switzerland</v>
          </cell>
          <cell r="C80" t="str">
            <v>Europe</v>
          </cell>
          <cell r="D80" t="str">
            <v>Oceanic</v>
          </cell>
          <cell r="E80" t="str">
            <v>High income</v>
          </cell>
        </row>
        <row r="81">
          <cell r="A81" t="str">
            <v>Netherlands</v>
          </cell>
          <cell r="B81" t="str">
            <v>Netherlands</v>
          </cell>
          <cell r="C81" t="str">
            <v>Europe</v>
          </cell>
          <cell r="D81" t="str">
            <v>Oceanic</v>
          </cell>
          <cell r="E81" t="str">
            <v>High income</v>
          </cell>
        </row>
        <row r="82">
          <cell r="A82" t="str">
            <v>Belgium</v>
          </cell>
          <cell r="B82" t="str">
            <v>Belgium</v>
          </cell>
          <cell r="C82" t="str">
            <v>Europe</v>
          </cell>
          <cell r="D82" t="str">
            <v>Oceanic</v>
          </cell>
          <cell r="E82" t="str">
            <v>High income</v>
          </cell>
        </row>
        <row r="83">
          <cell r="A83" t="str">
            <v>Flanders, northern Belgium</v>
          </cell>
          <cell r="B83" t="str">
            <v>Belgium</v>
          </cell>
          <cell r="C83" t="str">
            <v>Europe</v>
          </cell>
          <cell r="D83" t="str">
            <v>Oceanic</v>
          </cell>
          <cell r="E83" t="str">
            <v>High income</v>
          </cell>
        </row>
        <row r="84">
          <cell r="A84" t="str">
            <v>Augsburg, Germany</v>
          </cell>
          <cell r="B84" t="str">
            <v>Augsburg, Germany</v>
          </cell>
          <cell r="C84" t="str">
            <v>Europe</v>
          </cell>
          <cell r="D84" t="str">
            <v>Oceanic</v>
          </cell>
          <cell r="E84" t="str">
            <v>High income</v>
          </cell>
        </row>
        <row r="85">
          <cell r="A85" t="str">
            <v>Budapest</v>
          </cell>
          <cell r="B85" t="str">
            <v>Budapest, Hungary</v>
          </cell>
          <cell r="C85" t="str">
            <v>Europe</v>
          </cell>
          <cell r="D85" t="str">
            <v>Humid Continental</v>
          </cell>
          <cell r="E85" t="str">
            <v>High income</v>
          </cell>
        </row>
        <row r="86">
          <cell r="A86" t="str">
            <v>Dublin</v>
          </cell>
          <cell r="B86" t="str">
            <v>Dublin, Ireland</v>
          </cell>
          <cell r="C86" t="str">
            <v>Europe</v>
          </cell>
          <cell r="D86" t="str">
            <v>Oceanic</v>
          </cell>
          <cell r="E86" t="str">
            <v>High income</v>
          </cell>
        </row>
        <row r="87">
          <cell r="A87" t="str">
            <v>Czechia</v>
          </cell>
          <cell r="B87" t="str">
            <v>Czech Republic</v>
          </cell>
          <cell r="C87" t="str">
            <v>Europe</v>
          </cell>
          <cell r="D87" t="str">
            <v>Humid Continental</v>
          </cell>
          <cell r="E87" t="str">
            <v>High income</v>
          </cell>
        </row>
        <row r="88">
          <cell r="A88" t="str">
            <v>Lithuania</v>
          </cell>
          <cell r="B88" t="str">
            <v>Lithuania</v>
          </cell>
          <cell r="C88" t="str">
            <v>Europe</v>
          </cell>
          <cell r="D88" t="str">
            <v>Humid Continental</v>
          </cell>
          <cell r="E88" t="str">
            <v>High income</v>
          </cell>
        </row>
        <row r="89">
          <cell r="A89" t="str">
            <v>--- North America ---</v>
          </cell>
          <cell r="B89" t="str">
            <v>  </v>
          </cell>
          <cell r="C89" t="str">
            <v>  </v>
          </cell>
          <cell r="D89" t="str">
            <v>  </v>
          </cell>
          <cell r="E89" t="str">
            <v>  </v>
          </cell>
        </row>
        <row r="90">
          <cell r="A90" t="str">
            <v>New York, USA</v>
          </cell>
          <cell r="B90" t="str">
            <v>New York, USA</v>
          </cell>
          <cell r="C90" t="str">
            <v>North America</v>
          </cell>
          <cell r="D90" t="str">
            <v>Humid Continental</v>
          </cell>
          <cell r="E90" t="str">
            <v>High income</v>
          </cell>
        </row>
        <row r="91">
          <cell r="A91" t="str">
            <v>Washington, USA</v>
          </cell>
          <cell r="B91" t="str">
            <v>Washington DC, USA</v>
          </cell>
          <cell r="C91" t="str">
            <v>North America</v>
          </cell>
          <cell r="D91" t="str">
            <v>Humid Subtropical</v>
          </cell>
          <cell r="E91" t="str">
            <v>High income</v>
          </cell>
        </row>
        <row r="92">
          <cell r="A92" t="str">
            <v>Pennsylvania, USA</v>
          </cell>
          <cell r="B92" t="str">
            <v>Pennsylvania, USA</v>
          </cell>
          <cell r="C92" t="str">
            <v>North America</v>
          </cell>
          <cell r="D92" t="str">
            <v>Humid Continental</v>
          </cell>
          <cell r="E92" t="str">
            <v>High income</v>
          </cell>
        </row>
        <row r="93">
          <cell r="A93" t="str">
            <v>Maryland, USA</v>
          </cell>
          <cell r="B93" t="str">
            <v>Maryland, USA</v>
          </cell>
          <cell r="C93" t="str">
            <v>North America</v>
          </cell>
          <cell r="D93" t="str">
            <v>Humid Subtropical</v>
          </cell>
          <cell r="E93" t="str">
            <v>High income</v>
          </cell>
        </row>
        <row r="94">
          <cell r="A94" t="str">
            <v>Texas, USA</v>
          </cell>
          <cell r="B94" t="str">
            <v>Texas, USA</v>
          </cell>
          <cell r="C94" t="str">
            <v>North America</v>
          </cell>
          <cell r="D94" t="str">
            <v>Humid Subtropical</v>
          </cell>
          <cell r="E94" t="str">
            <v>High income</v>
          </cell>
        </row>
        <row r="95">
          <cell r="A95" t="str">
            <v>Arizona desert, USA</v>
          </cell>
          <cell r="B95" t="str">
            <v>Arizona, USA</v>
          </cell>
          <cell r="C95" t="str">
            <v>North America</v>
          </cell>
          <cell r="D95" t="str">
            <v>Arid</v>
          </cell>
          <cell r="E95" t="str">
            <v>High income</v>
          </cell>
        </row>
        <row r="96">
          <cell r="A96" t="str">
            <v>North Carolina, USA</v>
          </cell>
          <cell r="B96" t="str">
            <v>North Carolina, USA</v>
          </cell>
          <cell r="C96" t="str">
            <v>North America</v>
          </cell>
          <cell r="D96" t="str">
            <v>Humid Subtropical</v>
          </cell>
          <cell r="E96" t="str">
            <v>High income</v>
          </cell>
        </row>
        <row r="97">
          <cell r="A97" t="str">
            <v>Los Angels, USA</v>
          </cell>
          <cell r="B97" t="str">
            <v>Los Angeles, USA</v>
          </cell>
          <cell r="C97" t="str">
            <v>North America</v>
          </cell>
          <cell r="D97" t="str">
            <v>Mediterranean</v>
          </cell>
          <cell r="E97" t="str">
            <v>High income</v>
          </cell>
        </row>
        <row r="98">
          <cell r="A98" t="str">
            <v>USA</v>
          </cell>
          <cell r="B98" t="str">
            <v>USA</v>
          </cell>
          <cell r="C98" t="str">
            <v>North America</v>
          </cell>
          <cell r="D98" t="str">
            <v>Mixed</v>
          </cell>
          <cell r="E98" t="str">
            <v>High income</v>
          </cell>
        </row>
        <row r="99">
          <cell r="A99" t="str">
            <v>Ontario, Canada</v>
          </cell>
          <cell r="B99" t="str">
            <v>Ontario, Canada</v>
          </cell>
          <cell r="C99" t="str">
            <v>North America</v>
          </cell>
          <cell r="D99" t="str">
            <v>Humid Continental</v>
          </cell>
          <cell r="E99" t="str">
            <v>High income</v>
          </cell>
        </row>
        <row r="100">
          <cell r="A100" t="str">
            <v>Quebec, Canada</v>
          </cell>
          <cell r="B100" t="str">
            <v>Quebec, Canada</v>
          </cell>
          <cell r="C100" t="str">
            <v>North America</v>
          </cell>
          <cell r="D100" t="str">
            <v>Humid Continental</v>
          </cell>
          <cell r="E100" t="str">
            <v>High income</v>
          </cell>
        </row>
        <row r="101">
          <cell r="A101" t="str">
            <v>Mexico</v>
          </cell>
          <cell r="B101" t="str">
            <v>Mexico</v>
          </cell>
          <cell r="C101" t="str">
            <v>North America</v>
          </cell>
          <cell r="D101" t="str">
            <v>Mixed</v>
          </cell>
          <cell r="E101" t="str">
            <v>Upper-middle income</v>
          </cell>
        </row>
        <row r="102">
          <cell r="A102" t="str">
            <v>--- Oceania ---</v>
          </cell>
          <cell r="B102" t="str">
            <v>  </v>
          </cell>
          <cell r="C102" t="str">
            <v>  </v>
          </cell>
          <cell r="D102" t="str">
            <v>  </v>
          </cell>
          <cell r="E102" t="str">
            <v>  </v>
          </cell>
        </row>
        <row r="103">
          <cell r="A103" t="str">
            <v>Adelaide, Australia</v>
          </cell>
          <cell r="B103" t="str">
            <v>Adelaide, Australia</v>
          </cell>
          <cell r="C103" t="str">
            <v>Oceania</v>
          </cell>
          <cell r="D103" t="str">
            <v>Mediterranean</v>
          </cell>
          <cell r="E103" t="str">
            <v>High income</v>
          </cell>
        </row>
        <row r="104">
          <cell r="A104" t="str">
            <v>Perth, Australia</v>
          </cell>
          <cell r="B104" t="str">
            <v>Perth, Australia</v>
          </cell>
          <cell r="C104" t="str">
            <v>Oceania</v>
          </cell>
          <cell r="D104" t="str">
            <v>Mediterranean</v>
          </cell>
          <cell r="E104" t="str">
            <v>High income</v>
          </cell>
        </row>
        <row r="105">
          <cell r="A105" t="str">
            <v>Melbourne</v>
          </cell>
          <cell r="B105" t="str">
            <v>Melbourne, Australia</v>
          </cell>
          <cell r="C105" t="str">
            <v>Oceania</v>
          </cell>
          <cell r="D105" t="str">
            <v>Oceanic</v>
          </cell>
          <cell r="E105" t="str">
            <v>High income</v>
          </cell>
        </row>
        <row r="106">
          <cell r="A106" t="str">
            <v>Brisbane, Australia</v>
          </cell>
          <cell r="B106" t="str">
            <v>Brisbane, Australia</v>
          </cell>
          <cell r="C106" t="str">
            <v>Oceania</v>
          </cell>
          <cell r="D106" t="str">
            <v>Humid Subtropical</v>
          </cell>
          <cell r="E106" t="str">
            <v>High income</v>
          </cell>
        </row>
        <row r="107">
          <cell r="A107" t="str">
            <v>Sydney</v>
          </cell>
          <cell r="B107" t="str">
            <v>Sydney, Australia</v>
          </cell>
          <cell r="C107" t="str">
            <v>Oceania</v>
          </cell>
          <cell r="D107" t="str">
            <v>Humid Subtropical</v>
          </cell>
          <cell r="E107" t="str">
            <v>High income</v>
          </cell>
        </row>
        <row r="108">
          <cell r="A108" t="str">
            <v>Queensland, Australia</v>
          </cell>
          <cell r="B108" t="str">
            <v>Queensland, Australia</v>
          </cell>
          <cell r="C108" t="str">
            <v>Oceania</v>
          </cell>
          <cell r="D108" t="str">
            <v>Humid Subtropical</v>
          </cell>
          <cell r="E108" t="str">
            <v>High income</v>
          </cell>
        </row>
        <row r="109">
          <cell r="A109" t="str">
            <v>--- Other ---</v>
          </cell>
          <cell r="B109" t="str">
            <v>  </v>
          </cell>
          <cell r="C109" t="str">
            <v>  </v>
          </cell>
          <cell r="D109" t="str">
            <v>  </v>
          </cell>
          <cell r="E109" t="str">
            <v>  </v>
          </cell>
        </row>
        <row r="110">
          <cell r="A110" t="str">
            <v>São Paulo, Brazil</v>
          </cell>
          <cell r="B110" t="str">
            <v>São Paulo, Brazil</v>
          </cell>
          <cell r="C110" t="str">
            <v>South America</v>
          </cell>
          <cell r="D110" t="str">
            <v>Humid Subtropical</v>
          </cell>
          <cell r="E110" t="str">
            <v>Upper-middle income</v>
          </cell>
        </row>
        <row r="111">
          <cell r="A111" t="str">
            <v>Curitiba, Brazil</v>
          </cell>
          <cell r="B111" t="str">
            <v>Curitiba, Brazil</v>
          </cell>
          <cell r="C111" t="str">
            <v>South America</v>
          </cell>
          <cell r="D111" t="str">
            <v>Humid Subtropical</v>
          </cell>
          <cell r="E111" t="str">
            <v>Upper-middle income</v>
          </cell>
        </row>
        <row r="112">
          <cell r="A112" t="str">
            <v>Rio de Janeiro</v>
          </cell>
          <cell r="B112" t="str">
            <v>Rio de Janeiro</v>
          </cell>
          <cell r="C112" t="str">
            <v>South America</v>
          </cell>
          <cell r="D112" t="str">
            <v>Tropical</v>
          </cell>
          <cell r="E112" t="str">
            <v>Upper-middle income</v>
          </cell>
        </row>
        <row r="113">
          <cell r="A113" t="str">
            <v>Manaus</v>
          </cell>
          <cell r="B113" t="str">
            <v>Manaus, Brazil</v>
          </cell>
          <cell r="C113" t="str">
            <v>South America</v>
          </cell>
          <cell r="D113" t="str">
            <v>Tropical</v>
          </cell>
          <cell r="E113" t="str">
            <v>Upper-middle income</v>
          </cell>
        </row>
        <row r="114">
          <cell r="A114" t="str">
            <v>Brazil</v>
          </cell>
          <cell r="B114" t="str">
            <v>Brazil</v>
          </cell>
          <cell r="C114" t="str">
            <v>South America</v>
          </cell>
          <cell r="D114" t="str">
            <v>Tropical</v>
          </cell>
          <cell r="E114" t="str">
            <v>Upper-middle income</v>
          </cell>
        </row>
        <row r="115">
          <cell r="A115" t="str">
            <v>Santiago</v>
          </cell>
          <cell r="B115" t="str">
            <v>Santiago, Chile</v>
          </cell>
          <cell r="C115" t="str">
            <v>South America</v>
          </cell>
          <cell r="D115" t="str">
            <v>Mediterranean</v>
          </cell>
          <cell r="E115" t="str">
            <v>High income</v>
          </cell>
        </row>
        <row r="116">
          <cell r="A116" t="str">
            <v>Tunis, Tunisia</v>
          </cell>
          <cell r="B116" t="str">
            <v>Tunis, Tunisia</v>
          </cell>
          <cell r="C116" t="str">
            <v>Africa</v>
          </cell>
          <cell r="D116" t="str">
            <v>Mediterranean</v>
          </cell>
          <cell r="E116" t="str">
            <v>Lower-middle income</v>
          </cell>
        </row>
        <row r="117">
          <cell r="A117" t="str">
            <v>Northern Ghana</v>
          </cell>
          <cell r="B117" t="str">
            <v>Northern Ghana</v>
          </cell>
          <cell r="C117" t="str">
            <v>Africa</v>
          </cell>
          <cell r="D117" t="str">
            <v>Tropical</v>
          </cell>
          <cell r="E117" t="str">
            <v>Lower-middle income</v>
          </cell>
        </row>
        <row r="118">
          <cell r="A118" t="str">
            <v>Nouna area, Burkina Faso</v>
          </cell>
          <cell r="B118" t="str">
            <v>Nouna, Burkina Faso</v>
          </cell>
          <cell r="C118" t="str">
            <v>Africa</v>
          </cell>
          <cell r="D118" t="str">
            <v>Semi-arid</v>
          </cell>
          <cell r="E118" t="str">
            <v>Low income</v>
          </cell>
        </row>
        <row r="119">
          <cell r="A119" t="str">
            <v>Pooled</v>
          </cell>
          <cell r="B119" t="str">
            <v>  </v>
          </cell>
          <cell r="C119" t="str">
            <v>  </v>
          </cell>
          <cell r="D119" t="str">
            <v>  </v>
          </cell>
          <cell r="E119" t="str">
            <v>  </v>
          </cell>
        </row>
        <row r="120">
          <cell r="A120" t="str">
            <v>Urban heat island area</v>
          </cell>
          <cell r="B120" t="str">
            <v>  </v>
          </cell>
          <cell r="C120" t="str">
            <v>  </v>
          </cell>
          <cell r="D120" t="str">
            <v>  </v>
          </cell>
          <cell r="E120" t="str">
            <v>  </v>
          </cell>
        </row>
        <row r="121">
          <cell r="A121" t="str">
            <v>Non-urban heat island area</v>
          </cell>
          <cell r="B121" t="str">
            <v>  </v>
          </cell>
          <cell r="C121" t="str">
            <v>  </v>
          </cell>
          <cell r="D121" t="str">
            <v>  </v>
          </cell>
          <cell r="E121" t="str">
            <v>  </v>
          </cell>
        </row>
        <row r="122">
          <cell r="A122" t="str">
            <v>Low Greenness</v>
          </cell>
          <cell r="B122" t="str">
            <v>  </v>
          </cell>
          <cell r="C122" t="str">
            <v>  </v>
          </cell>
          <cell r="D122" t="str">
            <v>  </v>
          </cell>
          <cell r="E122" t="str">
            <v>  </v>
          </cell>
        </row>
        <row r="123">
          <cell r="A123" t="str">
            <v>High Greenness</v>
          </cell>
          <cell r="B123" t="str">
            <v>  </v>
          </cell>
          <cell r="C123" t="str">
            <v>  </v>
          </cell>
          <cell r="D123" t="str">
            <v>  </v>
          </cell>
          <cell r="E123" t="str">
            <v>  </v>
          </cell>
        </row>
        <row r="124">
          <cell r="A124" t="str">
            <v>owest quintile of SEP-Index</v>
          </cell>
          <cell r="B124" t="str">
            <v>  </v>
          </cell>
          <cell r="C124" t="str">
            <v>  </v>
          </cell>
          <cell r="D124" t="str">
            <v>  </v>
          </cell>
          <cell r="E124" t="str">
            <v>  </v>
          </cell>
        </row>
        <row r="125">
          <cell r="A125" t="str">
            <v>National climate zone</v>
          </cell>
          <cell r="B125" t="str">
            <v>  </v>
          </cell>
          <cell r="C125" t="str">
            <v>  </v>
          </cell>
          <cell r="D125" t="str">
            <v>  </v>
          </cell>
          <cell r="E125" t="str">
            <v>  </v>
          </cell>
        </row>
        <row r="126">
          <cell r="A126" t="str">
            <v>Subtropical climate zone</v>
          </cell>
          <cell r="B126" t="str">
            <v>  </v>
          </cell>
          <cell r="C126" t="str">
            <v>  </v>
          </cell>
          <cell r="D126" t="str">
            <v>Humid Subtropical</v>
          </cell>
          <cell r="E126" t="str">
            <v>  </v>
          </cell>
        </row>
        <row r="127">
          <cell r="A127" t="str">
            <v>Temperate climate zone</v>
          </cell>
          <cell r="B127" t="str">
            <v>  </v>
          </cell>
          <cell r="C127" t="str">
            <v>  </v>
          </cell>
          <cell r="D127" t="str">
            <v>Oceanic</v>
          </cell>
          <cell r="E127" t="str">
            <v>  </v>
          </cell>
        </row>
        <row r="128">
          <cell r="A128" t="str">
            <v>Multi-country</v>
          </cell>
          <cell r="B128" t="str">
            <v>  </v>
          </cell>
          <cell r="C128" t="str">
            <v>  </v>
          </cell>
          <cell r="D128" t="str">
            <v>  </v>
          </cell>
          <cell r="E128" t="str">
            <v>  </v>
          </cell>
        </row>
        <row r="129">
          <cell r="A129" t="str">
            <v>--- Europe (Regions) ---</v>
          </cell>
          <cell r="B129" t="str">
            <v>  </v>
          </cell>
          <cell r="C129" t="str">
            <v>  </v>
          </cell>
          <cell r="D129" t="str">
            <v>  </v>
          </cell>
          <cell r="E129" t="str">
            <v>  </v>
          </cell>
        </row>
        <row r="130">
          <cell r="A130" t="str">
            <v>Mediterranean</v>
          </cell>
          <cell r="B130" t="str">
            <v>Europe (South)</v>
          </cell>
          <cell r="C130" t="str">
            <v>Europe</v>
          </cell>
          <cell r="D130" t="str">
            <v>Mediterranean</v>
          </cell>
          <cell r="E130" t="str">
            <v>High income</v>
          </cell>
        </row>
        <row r="131">
          <cell r="A131" t="str">
            <v>Mediterranean Europe</v>
          </cell>
          <cell r="B131" t="str">
            <v>Europe (South)</v>
          </cell>
          <cell r="C131" t="str">
            <v>Europe</v>
          </cell>
          <cell r="D131" t="str">
            <v>Mediterranean</v>
          </cell>
          <cell r="E131" t="str">
            <v>High income</v>
          </cell>
        </row>
        <row r="132">
          <cell r="A132" t="str">
            <v>North-Continental Cities</v>
          </cell>
          <cell r="B132" t="str">
            <v>Europe (North/Central)</v>
          </cell>
          <cell r="C132" t="str">
            <v>Europe</v>
          </cell>
          <cell r="D132" t="str">
            <v>Humid Continental</v>
          </cell>
          <cell r="E132" t="str">
            <v>High income</v>
          </cell>
        </row>
        <row r="133">
          <cell r="A133" t="str">
            <v>North-Continental Europe</v>
          </cell>
          <cell r="B133" t="str">
            <v>Europe (North/Central)</v>
          </cell>
          <cell r="C133" t="str">
            <v>Europe</v>
          </cell>
          <cell r="D133" t="str">
            <v>Humid Continental</v>
          </cell>
          <cell r="E133" t="str">
            <v>High income</v>
          </cell>
        </row>
        <row r="134">
          <cell r="A134" t="str">
            <v>Lake Geneva</v>
          </cell>
          <cell r="B134" t="str">
            <v>Switzerland</v>
          </cell>
          <cell r="C134" t="str">
            <v>Europe</v>
          </cell>
          <cell r="D134" t="str">
            <v>Oceanic</v>
          </cell>
          <cell r="E134" t="str">
            <v>High income</v>
          </cell>
        </row>
        <row r="135">
          <cell r="A135" t="str">
            <v>Ticino</v>
          </cell>
          <cell r="B135" t="str">
            <v>Switzerland</v>
          </cell>
          <cell r="C135" t="str">
            <v>Europe</v>
          </cell>
          <cell r="D135" t="str">
            <v>Humid Subtropical</v>
          </cell>
          <cell r="E135" t="str">
            <v>High income</v>
          </cell>
        </row>
        <row r="136">
          <cell r="A136" t="str">
            <v>Swiss</v>
          </cell>
          <cell r="B136" t="str">
            <v>Switzerland</v>
          </cell>
          <cell r="C136" t="str">
            <v>Europe</v>
          </cell>
          <cell r="D136" t="str">
            <v>Oceanic</v>
          </cell>
          <cell r="E136" t="str">
            <v>High income</v>
          </cell>
        </row>
        <row r="137">
          <cell r="A137" t="str">
            <v>Switzerland</v>
          </cell>
          <cell r="B137" t="str">
            <v>Switzerland</v>
          </cell>
          <cell r="C137" t="str">
            <v>Europe</v>
          </cell>
          <cell r="D137" t="str">
            <v>Oceanic</v>
          </cell>
          <cell r="E137" t="str">
            <v>High income</v>
          </cell>
        </row>
        <row r="138">
          <cell r="A138" t="str">
            <v>Ljubljana</v>
          </cell>
          <cell r="B138" t="str">
            <v>Slovenia</v>
          </cell>
          <cell r="C138" t="str">
            <v>Europe</v>
          </cell>
          <cell r="D138" t="str">
            <v>Humid Continental</v>
          </cell>
          <cell r="E138" t="str">
            <v>High income</v>
          </cell>
        </row>
        <row r="139">
          <cell r="A139" t="str">
            <v>Paris</v>
          </cell>
          <cell r="B139" t="str">
            <v>France</v>
          </cell>
          <cell r="C139" t="str">
            <v>Europe</v>
          </cell>
          <cell r="D139" t="str">
            <v>Oceanic</v>
          </cell>
          <cell r="E139" t="str">
            <v>High income</v>
          </cell>
        </row>
        <row r="140">
          <cell r="A140" t="str">
            <v>Stockholm</v>
          </cell>
          <cell r="B140" t="str">
            <v>Sweden</v>
          </cell>
          <cell r="C140" t="str">
            <v>Europe</v>
          </cell>
          <cell r="D140" t="str">
            <v>Humid Continental</v>
          </cell>
          <cell r="E140" t="str">
            <v>High income</v>
          </cell>
        </row>
        <row r="141">
          <cell r="A141" t="str">
            <v>Sweden</v>
          </cell>
          <cell r="B141" t="str">
            <v>Sweden</v>
          </cell>
          <cell r="C141" t="str">
            <v>Europe</v>
          </cell>
          <cell r="D141" t="str">
            <v>Humid Continental</v>
          </cell>
          <cell r="E141" t="str">
            <v>High income</v>
          </cell>
        </row>
        <row r="142">
          <cell r="A142" t="str">
            <v>Catalonia, Spain</v>
          </cell>
          <cell r="B142" t="str">
            <v>Spain</v>
          </cell>
          <cell r="C142" t="str">
            <v>Europe</v>
          </cell>
          <cell r="D142" t="str">
            <v>Mediterranean</v>
          </cell>
          <cell r="E142" t="str">
            <v>High income</v>
          </cell>
        </row>
        <row r="143">
          <cell r="A143" t="str">
            <v>Bologna Local Health Trust, Italy</v>
          </cell>
          <cell r="B143" t="str">
            <v>Italy</v>
          </cell>
          <cell r="C143" t="str">
            <v>Europe</v>
          </cell>
          <cell r="D143" t="str">
            <v>Humid Subtropical</v>
          </cell>
          <cell r="E143" t="str">
            <v>High income</v>
          </cell>
        </row>
        <row r="144">
          <cell r="A144" t="str">
            <v>--- UK Regions ---</v>
          </cell>
          <cell r="B144" t="str">
            <v>  </v>
          </cell>
          <cell r="C144" t="str">
            <v>  </v>
          </cell>
          <cell r="D144" t="str">
            <v>  </v>
          </cell>
          <cell r="E144" t="str">
            <v>  </v>
          </cell>
        </row>
        <row r="145">
          <cell r="A145" t="str">
            <v>Midland</v>
          </cell>
          <cell r="B145" t="str">
            <v>UK</v>
          </cell>
          <cell r="C145" t="str">
            <v>Europe</v>
          </cell>
          <cell r="D145" t="str">
            <v>Oceanic</v>
          </cell>
          <cell r="E145" t="str">
            <v>High income</v>
          </cell>
        </row>
        <row r="146">
          <cell r="A146" t="str">
            <v>North East</v>
          </cell>
          <cell r="B146" t="str">
            <v>UK</v>
          </cell>
          <cell r="C146" t="str">
            <v>Europe</v>
          </cell>
          <cell r="D146" t="str">
            <v>Oceanic</v>
          </cell>
          <cell r="E146" t="str">
            <v>High income</v>
          </cell>
        </row>
        <row r="147">
          <cell r="A147" t="str">
            <v>North West</v>
          </cell>
          <cell r="B147" t="str">
            <v>UK</v>
          </cell>
          <cell r="C147" t="str">
            <v>Europe</v>
          </cell>
          <cell r="D147" t="str">
            <v>Oceanic</v>
          </cell>
          <cell r="E147" t="str">
            <v>High income</v>
          </cell>
        </row>
        <row r="148">
          <cell r="A148" t="str">
            <v>Yorks and Hum</v>
          </cell>
          <cell r="B148" t="str">
            <v>UK</v>
          </cell>
          <cell r="C148" t="str">
            <v>Europe</v>
          </cell>
          <cell r="D148" t="str">
            <v>Oceanic</v>
          </cell>
          <cell r="E148" t="str">
            <v>High income</v>
          </cell>
        </row>
        <row r="149">
          <cell r="A149" t="str">
            <v>East Midlands</v>
          </cell>
          <cell r="B149" t="str">
            <v>UK</v>
          </cell>
          <cell r="C149" t="str">
            <v>Europe</v>
          </cell>
          <cell r="D149" t="str">
            <v>Oceanic</v>
          </cell>
          <cell r="E149" t="str">
            <v>High income</v>
          </cell>
        </row>
        <row r="150">
          <cell r="A150" t="str">
            <v>South East</v>
          </cell>
          <cell r="B150" t="str">
            <v>UK</v>
          </cell>
          <cell r="C150" t="str">
            <v>Europe</v>
          </cell>
          <cell r="D150" t="str">
            <v>Oceanic</v>
          </cell>
          <cell r="E150" t="str">
            <v>High income</v>
          </cell>
        </row>
        <row r="151">
          <cell r="A151" t="str">
            <v>South West</v>
          </cell>
          <cell r="B151" t="str">
            <v>UK</v>
          </cell>
          <cell r="C151" t="str">
            <v>Europe</v>
          </cell>
          <cell r="D151" t="str">
            <v>Oceanic</v>
          </cell>
          <cell r="E151" t="str">
            <v>High income</v>
          </cell>
        </row>
        <row r="152">
          <cell r="A152" t="str">
            <v>Wales</v>
          </cell>
          <cell r="B152" t="str">
            <v>UK</v>
          </cell>
          <cell r="C152" t="str">
            <v>Europe</v>
          </cell>
          <cell r="D152" t="str">
            <v>Oceanic</v>
          </cell>
          <cell r="E152" t="str">
            <v>High income</v>
          </cell>
        </row>
        <row r="153">
          <cell r="A153" t="str">
            <v>Scotland</v>
          </cell>
          <cell r="B153" t="str">
            <v>UK</v>
          </cell>
          <cell r="C153" t="str">
            <v>Europe</v>
          </cell>
          <cell r="D153" t="str">
            <v>Oceanic</v>
          </cell>
          <cell r="E153" t="str">
            <v>High income</v>
          </cell>
        </row>
        <row r="154">
          <cell r="A154" t="str">
            <v>--- Asia (China Specific) ---</v>
          </cell>
          <cell r="B154" t="str">
            <v>  </v>
          </cell>
          <cell r="C154" t="str">
            <v>  </v>
          </cell>
          <cell r="D154" t="str">
            <v>  </v>
          </cell>
          <cell r="E154" t="str">
            <v>  </v>
          </cell>
        </row>
        <row r="155">
          <cell r="A155" t="str">
            <v>China</v>
          </cell>
          <cell r="B155" t="str">
            <v>China</v>
          </cell>
          <cell r="C155" t="str">
            <v>Asia</v>
          </cell>
          <cell r="D155" t="str">
            <v>  </v>
          </cell>
          <cell r="E155" t="str">
            <v>Upper-middle income</v>
          </cell>
        </row>
        <row r="156">
          <cell r="A156" t="str">
            <v>Hulunbuir, China</v>
          </cell>
          <cell r="B156" t="str">
            <v>Hulunbuir, China</v>
          </cell>
          <cell r="C156" t="str">
            <v>Asia</v>
          </cell>
          <cell r="D156" t="str">
            <v>Continental Monsoon</v>
          </cell>
          <cell r="E156" t="str">
            <v>Upper-middle income</v>
          </cell>
        </row>
        <row r="157">
          <cell r="A157" t="str">
            <v>Gansu, China</v>
          </cell>
          <cell r="B157" t="str">
            <v>Gansu, China</v>
          </cell>
          <cell r="C157" t="str">
            <v>Asia</v>
          </cell>
          <cell r="D157" t="str">
            <v>Semi-arid</v>
          </cell>
          <cell r="E157" t="str">
            <v>Upper-middle income</v>
          </cell>
        </row>
        <row r="158">
          <cell r="A158" t="str">
            <v>Dingxi, China</v>
          </cell>
          <cell r="B158" t="str">
            <v>Dingxi, China</v>
          </cell>
          <cell r="C158" t="str">
            <v>Asia</v>
          </cell>
          <cell r="D158" t="str">
            <v>Semi-arid</v>
          </cell>
          <cell r="E158" t="str">
            <v>Upper-middle income</v>
          </cell>
        </row>
        <row r="159">
          <cell r="A159" t="str">
            <v>Tianshui, China</v>
          </cell>
          <cell r="B159" t="str">
            <v>Tianshui, China</v>
          </cell>
          <cell r="C159" t="str">
            <v>Asia</v>
          </cell>
          <cell r="D159" t="str">
            <v>Semi-arid</v>
          </cell>
          <cell r="E159" t="str">
            <v>Upper-middle income</v>
          </cell>
        </row>
        <row r="160">
          <cell r="A160" t="str">
            <v>Nanxiong, China</v>
          </cell>
          <cell r="B160" t="str">
            <v>Nanxiong, China</v>
          </cell>
          <cell r="C160" t="str">
            <v>Asia</v>
          </cell>
          <cell r="D160" t="str">
            <v>Humid Subtropical</v>
          </cell>
          <cell r="E160" t="str">
            <v>Upper-middle income</v>
          </cell>
        </row>
        <row r="161">
          <cell r="A161" t="str">
            <v>Taishan, China</v>
          </cell>
          <cell r="B161" t="str">
            <v>Taishan, China</v>
          </cell>
          <cell r="C161" t="str">
            <v>Asia</v>
          </cell>
          <cell r="D161" t="str">
            <v>Humid Subtropical</v>
          </cell>
          <cell r="E161" t="str">
            <v>Upper-middle income</v>
          </cell>
        </row>
        <row r="162">
          <cell r="A162" t="str">
            <v>Anhui, China</v>
          </cell>
          <cell r="B162" t="str">
            <v>Anhui, China</v>
          </cell>
          <cell r="C162" t="str">
            <v>Asia</v>
          </cell>
          <cell r="D162" t="str">
            <v>Humid Subtropical</v>
          </cell>
          <cell r="E162" t="str">
            <v>Upper-middle income</v>
          </cell>
        </row>
        <row r="163">
          <cell r="A163" t="str">
            <v>Hunan, China</v>
          </cell>
          <cell r="B163" t="str">
            <v>Hunan, China</v>
          </cell>
          <cell r="C163" t="str">
            <v>Asia</v>
          </cell>
          <cell r="D163" t="str">
            <v>Humid Subtropical</v>
          </cell>
          <cell r="E163" t="str">
            <v>Upper-middle income</v>
          </cell>
        </row>
        <row r="164">
          <cell r="A164" t="str">
            <v>Shenzhen,China</v>
          </cell>
          <cell r="B164" t="str">
            <v>Shenzhen, China</v>
          </cell>
          <cell r="C164" t="str">
            <v>Asia</v>
          </cell>
          <cell r="D164" t="str">
            <v>Humid Subtropical</v>
          </cell>
          <cell r="E164" t="str">
            <v>Upper-middle income</v>
          </cell>
        </row>
        <row r="165">
          <cell r="A165" t="str">
            <v>--- Asia (Korea Specific) ---</v>
          </cell>
          <cell r="B165" t="str">
            <v>  </v>
          </cell>
          <cell r="C165" t="str">
            <v>  </v>
          </cell>
          <cell r="D165" t="str">
            <v>  </v>
          </cell>
          <cell r="E165" t="str">
            <v>  </v>
          </cell>
        </row>
        <row r="166">
          <cell r="A166" t="str">
            <v>Incheon, Korea</v>
          </cell>
          <cell r="B166" t="str">
            <v>Incheon, South Korea</v>
          </cell>
          <cell r="C166" t="str">
            <v>Asia</v>
          </cell>
          <cell r="D166" t="str">
            <v>Continental Monsoon</v>
          </cell>
          <cell r="E166" t="str">
            <v>High income</v>
          </cell>
        </row>
        <row r="167">
          <cell r="A167" t="str">
            <v>GwangJu</v>
          </cell>
          <cell r="B167" t="str">
            <v>Gwangju, South Korea</v>
          </cell>
          <cell r="C167" t="str">
            <v>Asia</v>
          </cell>
          <cell r="D167" t="str">
            <v>Humid Subtropical</v>
          </cell>
          <cell r="E167" t="str">
            <v>High income</v>
          </cell>
        </row>
        <row r="168">
          <cell r="A168" t="str">
            <v>Daejeon</v>
          </cell>
          <cell r="B168" t="str">
            <v>Daejeon, South Korea</v>
          </cell>
          <cell r="C168" t="str">
            <v>Asia</v>
          </cell>
          <cell r="D168" t="str">
            <v>Continental Monsoon</v>
          </cell>
          <cell r="E168" t="str">
            <v>High income</v>
          </cell>
        </row>
        <row r="169">
          <cell r="A169" t="str">
            <v>Ulsan</v>
          </cell>
          <cell r="B169" t="str">
            <v>Ulsan, South Korea</v>
          </cell>
          <cell r="C169" t="str">
            <v>Asia</v>
          </cell>
          <cell r="D169" t="str">
            <v>Humid Subtropical</v>
          </cell>
          <cell r="E169" t="str">
            <v>High income</v>
          </cell>
        </row>
        <row r="170">
          <cell r="A170" t="str">
            <v>Gyeonggido</v>
          </cell>
          <cell r="B170" t="str">
            <v>Gyeonggi, South Korea</v>
          </cell>
          <cell r="C170" t="str">
            <v>Asia</v>
          </cell>
          <cell r="D170" t="str">
            <v>Continental Monsoon</v>
          </cell>
          <cell r="E170" t="str">
            <v>High income</v>
          </cell>
        </row>
        <row r="171">
          <cell r="A171" t="str">
            <v>Gangwondo</v>
          </cell>
          <cell r="B171" t="str">
            <v>Gangwon, South Korea</v>
          </cell>
          <cell r="C171" t="str">
            <v>Asia</v>
          </cell>
          <cell r="D171" t="str">
            <v>Continental Monsoon</v>
          </cell>
          <cell r="E171" t="str">
            <v>High income</v>
          </cell>
        </row>
        <row r="172">
          <cell r="A172" t="str">
            <v>Chungcheongbukdo</v>
          </cell>
          <cell r="B172" t="str">
            <v>Chungbuk, South Korea</v>
          </cell>
          <cell r="C172" t="str">
            <v>Asia</v>
          </cell>
          <cell r="D172" t="str">
            <v>Continental Monsoon</v>
          </cell>
          <cell r="E172" t="str">
            <v>High income</v>
          </cell>
        </row>
        <row r="173">
          <cell r="A173" t="str">
            <v>Chungcheongnamdo</v>
          </cell>
          <cell r="B173" t="str">
            <v>Chungnam, South Korea</v>
          </cell>
          <cell r="C173" t="str">
            <v>Asia</v>
          </cell>
          <cell r="D173" t="str">
            <v>Continental Monsoon</v>
          </cell>
          <cell r="E173" t="str">
            <v>High income</v>
          </cell>
        </row>
        <row r="174">
          <cell r="A174" t="str">
            <v>Jeollabukdo</v>
          </cell>
          <cell r="B174" t="str">
            <v>Jeonbuk, South Korea</v>
          </cell>
          <cell r="C174" t="str">
            <v>Asia</v>
          </cell>
          <cell r="D174" t="str">
            <v>Humid Subtropical</v>
          </cell>
          <cell r="E174" t="str">
            <v>High income</v>
          </cell>
        </row>
        <row r="175">
          <cell r="A175" t="str">
            <v>Jeollanamdo</v>
          </cell>
          <cell r="B175" t="str">
            <v>Jeonnam, South Korea</v>
          </cell>
          <cell r="C175" t="str">
            <v>Asia</v>
          </cell>
          <cell r="D175" t="str">
            <v>Humid Subtropical</v>
          </cell>
          <cell r="E175" t="str">
            <v>High income</v>
          </cell>
        </row>
        <row r="176">
          <cell r="A176" t="str">
            <v>Gyeongsangbukdo</v>
          </cell>
          <cell r="B176" t="str">
            <v>Gyeongbuk, South Korea</v>
          </cell>
          <cell r="C176" t="str">
            <v>Asia</v>
          </cell>
          <cell r="D176" t="str">
            <v>Humid Subtropical</v>
          </cell>
          <cell r="E176" t="str">
            <v>High income</v>
          </cell>
        </row>
        <row r="177">
          <cell r="A177" t="str">
            <v>Gyeongsangnamdo</v>
          </cell>
          <cell r="B177" t="str">
            <v>Gyeongnam, South Korea</v>
          </cell>
          <cell r="C177" t="str">
            <v>Asia</v>
          </cell>
          <cell r="D177" t="str">
            <v>Humid Subtropical</v>
          </cell>
          <cell r="E177" t="str">
            <v>High income</v>
          </cell>
        </row>
        <row r="178">
          <cell r="A178" t="str">
            <v>Jejudo</v>
          </cell>
          <cell r="B178" t="str">
            <v>Jeju, South Korea</v>
          </cell>
          <cell r="C178" t="str">
            <v>Asia</v>
          </cell>
          <cell r="D178" t="str">
            <v>Humid Subtropical</v>
          </cell>
          <cell r="E178" t="str">
            <v>High income</v>
          </cell>
        </row>
        <row r="179">
          <cell r="A179" t="str">
            <v>Korea With dementia</v>
          </cell>
          <cell r="B179" t="str">
            <v>South Korea</v>
          </cell>
          <cell r="C179" t="str">
            <v>Asia</v>
          </cell>
          <cell r="D179" t="str">
            <v>Continental Monsoon</v>
          </cell>
          <cell r="E179" t="str">
            <v>High income</v>
          </cell>
        </row>
        <row r="180">
          <cell r="A180" t="str">
            <v>Korea Without dementia</v>
          </cell>
          <cell r="B180" t="str">
            <v>South Korea</v>
          </cell>
          <cell r="C180" t="str">
            <v>Asia</v>
          </cell>
          <cell r="D180" t="str">
            <v>Continental Monsoon</v>
          </cell>
          <cell r="E180" t="str">
            <v>High income</v>
          </cell>
        </row>
        <row r="181">
          <cell r="A181" t="str">
            <v>--- Asia (Other) ---</v>
          </cell>
          <cell r="B181" t="str">
            <v>  </v>
          </cell>
          <cell r="C181" t="str">
            <v>  </v>
          </cell>
          <cell r="D181" t="str">
            <v>  </v>
          </cell>
          <cell r="E181" t="str">
            <v>  </v>
          </cell>
        </row>
        <row r="182">
          <cell r="A182" t="str">
            <v>Afghanistan</v>
          </cell>
          <cell r="B182" t="str">
            <v>Afghanistan</v>
          </cell>
          <cell r="C182" t="str">
            <v>Asia</v>
          </cell>
          <cell r="D182" t="str">
            <v>Semi-arid</v>
          </cell>
          <cell r="E182" t="str">
            <v>Low income</v>
          </cell>
        </row>
        <row r="183">
          <cell r="A183" t="str">
            <v>Ho Chi Minh City,Vietnam</v>
          </cell>
          <cell r="B183" t="str">
            <v>Ho Chi Minh City</v>
          </cell>
          <cell r="C183" t="str">
            <v>Asia</v>
          </cell>
          <cell r="D183" t="str">
            <v>Tropical</v>
          </cell>
          <cell r="E183" t="str">
            <v>Lower-middle income</v>
          </cell>
        </row>
        <row r="184">
          <cell r="A184" t="str">
            <v>--- North America (USA) ---</v>
          </cell>
          <cell r="B184" t="str">
            <v>  </v>
          </cell>
          <cell r="C184" t="str">
            <v>  </v>
          </cell>
          <cell r="D184" t="str">
            <v>  </v>
          </cell>
          <cell r="E184" t="str">
            <v>  </v>
          </cell>
        </row>
        <row r="185">
          <cell r="A185" t="str">
            <v>Carolina, USA</v>
          </cell>
          <cell r="B185" t="str">
            <v>North Carolina, USA</v>
          </cell>
          <cell r="C185" t="str">
            <v>North America</v>
          </cell>
          <cell r="D185" t="str">
            <v>Humid Subtropical</v>
          </cell>
          <cell r="E185" t="str">
            <v>High income</v>
          </cell>
        </row>
        <row r="186">
          <cell r="A186" t="str">
            <v>USA (California)</v>
          </cell>
          <cell r="B186" t="str">
            <v>California, USA</v>
          </cell>
          <cell r="C186" t="str">
            <v>North America</v>
          </cell>
          <cell r="D186" t="str">
            <v>Mediterranean</v>
          </cell>
          <cell r="E186" t="str">
            <v>High income</v>
          </cell>
        </row>
        <row r="187">
          <cell r="A187" t="str">
            <v>Temperate climates area, USA</v>
          </cell>
          <cell r="B187" t="str">
            <v>USA</v>
          </cell>
          <cell r="C187" t="str">
            <v>North America</v>
          </cell>
          <cell r="D187" t="str">
            <v>Humid Subtropical</v>
          </cell>
          <cell r="E187" t="str">
            <v>High income</v>
          </cell>
        </row>
        <row r="188">
          <cell r="A188" t="str">
            <v>Continental climates area, USA</v>
          </cell>
          <cell r="B188" t="str">
            <v>USA</v>
          </cell>
          <cell r="C188" t="str">
            <v>North America</v>
          </cell>
          <cell r="D188" t="str">
            <v>Humid Continental</v>
          </cell>
          <cell r="E188" t="str">
            <v>High income</v>
          </cell>
        </row>
        <row r="189">
          <cell r="A189" t="str">
            <v>Arid climates area, USA</v>
          </cell>
          <cell r="B189" t="str">
            <v>USA</v>
          </cell>
          <cell r="C189" t="str">
            <v>North America</v>
          </cell>
          <cell r="D189" t="str">
            <v>Arid</v>
          </cell>
          <cell r="E189" t="str">
            <v>High income</v>
          </cell>
        </row>
        <row r="190">
          <cell r="A190" t="str">
            <v>Tropical climates area, USA</v>
          </cell>
          <cell r="B190" t="str">
            <v>USA</v>
          </cell>
          <cell r="C190" t="str">
            <v>North America</v>
          </cell>
          <cell r="D190" t="str">
            <v>Tropical</v>
          </cell>
          <cell r="E190" t="str">
            <v>High income</v>
          </cell>
        </row>
        <row r="191">
          <cell r="A191" t="str">
            <v>120 Large Urban Areas, USA</v>
          </cell>
          <cell r="B191" t="str">
            <v>USA</v>
          </cell>
          <cell r="C191" t="str">
            <v>North America</v>
          </cell>
          <cell r="D191" t="str">
            <v>  </v>
          </cell>
          <cell r="E191" t="str">
            <v>High income</v>
          </cell>
        </row>
        <row r="192">
          <cell r="A192" t="str">
            <v>--- South America (Brazil) ---</v>
          </cell>
          <cell r="B192" t="str">
            <v>  </v>
          </cell>
          <cell r="C192" t="str">
            <v>  </v>
          </cell>
          <cell r="D192" t="str">
            <v>  </v>
          </cell>
          <cell r="E192" t="str">
            <v>  </v>
          </cell>
        </row>
        <row r="193">
          <cell r="A193" t="str">
            <v>Goiânia</v>
          </cell>
          <cell r="B193" t="str">
            <v>Goiania, Brazil</v>
          </cell>
          <cell r="C193" t="str">
            <v>South America</v>
          </cell>
          <cell r="D193" t="str">
            <v>Tropical</v>
          </cell>
          <cell r="E193" t="str">
            <v>Upper-middle income</v>
          </cell>
        </row>
        <row r="194">
          <cell r="A194" t="str">
            <v>Vale do Rio Cuiabá</v>
          </cell>
          <cell r="B194" t="str">
            <v>Cuiaba, Brazil</v>
          </cell>
          <cell r="C194" t="str">
            <v>South America</v>
          </cell>
          <cell r="D194" t="str">
            <v>Tropical</v>
          </cell>
          <cell r="E194" t="str">
            <v>Upper-middle income</v>
          </cell>
        </row>
        <row r="195">
          <cell r="A195" t="str">
            <v>Aracaju</v>
          </cell>
          <cell r="B195" t="str">
            <v>Aracaju, Brazil</v>
          </cell>
          <cell r="C195" t="str">
            <v>South America</v>
          </cell>
          <cell r="D195" t="str">
            <v>Tropical</v>
          </cell>
          <cell r="E195" t="str">
            <v>Upper-middle income</v>
          </cell>
        </row>
        <row r="196">
          <cell r="A196" t="str">
            <v>Campina Grande</v>
          </cell>
          <cell r="B196" t="str">
            <v>Campina Grande, Brazil</v>
          </cell>
          <cell r="C196" t="str">
            <v>South America</v>
          </cell>
          <cell r="D196" t="str">
            <v>Tropical</v>
          </cell>
          <cell r="E196" t="str">
            <v>Upper-middle income</v>
          </cell>
        </row>
        <row r="197">
          <cell r="A197" t="str">
            <v>Cariri</v>
          </cell>
          <cell r="B197" t="str">
            <v>Cariri, Brazil</v>
          </cell>
          <cell r="C197" t="str">
            <v>South America</v>
          </cell>
          <cell r="D197" t="str">
            <v>Tropical</v>
          </cell>
          <cell r="E197" t="str">
            <v>Upper-middle income</v>
          </cell>
        </row>
        <row r="198">
          <cell r="A198" t="str">
            <v>Feira de Santana</v>
          </cell>
          <cell r="B198" t="str">
            <v>Bahia, Brazil</v>
          </cell>
          <cell r="C198" t="str">
            <v>South America</v>
          </cell>
          <cell r="D198" t="str">
            <v>Tropical</v>
          </cell>
          <cell r="E198" t="str">
            <v>Upper-middle income</v>
          </cell>
        </row>
        <row r="199">
          <cell r="A199" t="str">
            <v>Fortaleza</v>
          </cell>
          <cell r="B199" t="str">
            <v>Fortaleza, Brazil</v>
          </cell>
          <cell r="C199" t="str">
            <v>South America</v>
          </cell>
          <cell r="D199" t="str">
            <v>Tropical</v>
          </cell>
          <cell r="E199" t="str">
            <v>Upper-middle income</v>
          </cell>
        </row>
        <row r="200">
          <cell r="A200" t="str">
            <v>Grande São Luís</v>
          </cell>
          <cell r="B200" t="str">
            <v>Sao Luis, Brazil</v>
          </cell>
          <cell r="C200" t="str">
            <v>South America</v>
          </cell>
          <cell r="D200" t="str">
            <v>Tropical</v>
          </cell>
          <cell r="E200" t="str">
            <v>Upper-middle income</v>
          </cell>
        </row>
        <row r="201">
          <cell r="A201" t="str">
            <v>João Pessoa</v>
          </cell>
          <cell r="B201" t="str">
            <v>Joao Pessoa, Brazil</v>
          </cell>
          <cell r="C201" t="str">
            <v>South America</v>
          </cell>
          <cell r="D201" t="str">
            <v>Tropical</v>
          </cell>
          <cell r="E201" t="str">
            <v>Upper-middle income</v>
          </cell>
        </row>
        <row r="202">
          <cell r="A202" t="str">
            <v>Maceió</v>
          </cell>
          <cell r="B202" t="str">
            <v>Maceio, Brazil</v>
          </cell>
          <cell r="C202" t="str">
            <v>South America</v>
          </cell>
          <cell r="D202" t="str">
            <v>Tropical</v>
          </cell>
          <cell r="E202" t="str">
            <v>Upper-middle income</v>
          </cell>
        </row>
        <row r="203">
          <cell r="A203" t="str">
            <v>Natal</v>
          </cell>
          <cell r="B203" t="str">
            <v>Natal, Brazil</v>
          </cell>
          <cell r="C203" t="str">
            <v>South America</v>
          </cell>
          <cell r="D203" t="str">
            <v>Tropical</v>
          </cell>
          <cell r="E203" t="str">
            <v>Upper-middle income</v>
          </cell>
        </row>
        <row r="204">
          <cell r="A204" t="str">
            <v>Palmeira dos Índios</v>
          </cell>
          <cell r="B204" t="str">
            <v>Alagoas, Brazil</v>
          </cell>
          <cell r="C204" t="str">
            <v>South America</v>
          </cell>
          <cell r="D204" t="str">
            <v>Tropical</v>
          </cell>
          <cell r="E204" t="str">
            <v>Upper-middle income</v>
          </cell>
        </row>
        <row r="205">
          <cell r="A205" t="str">
            <v>Patos</v>
          </cell>
          <cell r="B205" t="str">
            <v>Paraiba, Brazil</v>
          </cell>
          <cell r="C205" t="str">
            <v>South America</v>
          </cell>
          <cell r="D205" t="str">
            <v>Tropical</v>
          </cell>
          <cell r="E205" t="str">
            <v>Upper-middle income</v>
          </cell>
        </row>
        <row r="206">
          <cell r="A206" t="str">
            <v>Recife</v>
          </cell>
          <cell r="B206" t="str">
            <v>Recife, Brazil</v>
          </cell>
          <cell r="C206" t="str">
            <v>South America</v>
          </cell>
          <cell r="D206" t="str">
            <v>Tropical</v>
          </cell>
          <cell r="E206" t="str">
            <v>Upper-middle income</v>
          </cell>
        </row>
        <row r="207">
          <cell r="A207" t="str">
            <v>Salvador</v>
          </cell>
          <cell r="B207" t="str">
            <v>Salvador, Brazil</v>
          </cell>
          <cell r="C207" t="str">
            <v>South America</v>
          </cell>
          <cell r="D207" t="str">
            <v>Tropical</v>
          </cell>
          <cell r="E207" t="str">
            <v>Upper-middle income</v>
          </cell>
        </row>
        <row r="208">
          <cell r="A208" t="str">
            <v>Sudoeste Maranhense</v>
          </cell>
          <cell r="B208" t="str">
            <v>Maranhao, Brazil</v>
          </cell>
          <cell r="C208" t="str">
            <v>South America</v>
          </cell>
          <cell r="D208" t="str">
            <v>Tropical</v>
          </cell>
          <cell r="E208" t="str">
            <v>Upper-middle income</v>
          </cell>
        </row>
        <row r="209">
          <cell r="A209" t="str">
            <v>Belém</v>
          </cell>
          <cell r="B209" t="str">
            <v>Belem, Brazil</v>
          </cell>
          <cell r="C209" t="str">
            <v>South America</v>
          </cell>
          <cell r="D209" t="str">
            <v>Tropical</v>
          </cell>
          <cell r="E209" t="str">
            <v>Upper-middle income</v>
          </cell>
        </row>
        <row r="210">
          <cell r="A210" t="str">
            <v>Capital</v>
          </cell>
          <cell r="B210" t="str">
            <v>Brasilia, Brazil</v>
          </cell>
          <cell r="C210" t="str">
            <v>South America</v>
          </cell>
          <cell r="D210" t="str">
            <v>Tropical</v>
          </cell>
          <cell r="E210" t="str">
            <v>Upper-middle income</v>
          </cell>
        </row>
        <row r="211">
          <cell r="A211" t="str">
            <v>Gurupi</v>
          </cell>
          <cell r="B211" t="str">
            <v>Tocantins, Brazil</v>
          </cell>
          <cell r="C211" t="str">
            <v>South America</v>
          </cell>
          <cell r="D211" t="str">
            <v>Tropical</v>
          </cell>
          <cell r="E211" t="str">
            <v>Upper-middle income</v>
          </cell>
        </row>
        <row r="212">
          <cell r="A212" t="str">
            <v>Macapá</v>
          </cell>
          <cell r="B212" t="str">
            <v>Macapa, Brazil</v>
          </cell>
          <cell r="C212" t="str">
            <v>South America</v>
          </cell>
          <cell r="D212" t="str">
            <v>Tropical</v>
          </cell>
          <cell r="E212" t="str">
            <v>Upper-middle income</v>
          </cell>
        </row>
        <row r="213">
          <cell r="A213" t="str">
            <v>Palmas</v>
          </cell>
          <cell r="B213" t="str">
            <v>Palmas, Brazil</v>
          </cell>
          <cell r="C213" t="str">
            <v>South America</v>
          </cell>
          <cell r="D213" t="str">
            <v>Tropical</v>
          </cell>
          <cell r="E213" t="str">
            <v>Upper-middle income</v>
          </cell>
        </row>
        <row r="214">
          <cell r="A214" t="str">
            <v>Belo Horizonte</v>
          </cell>
          <cell r="B214" t="str">
            <v>Belo Horizonte, Brazil</v>
          </cell>
          <cell r="C214" t="str">
            <v>South America</v>
          </cell>
          <cell r="D214" t="str">
            <v>Tropical</v>
          </cell>
          <cell r="E214" t="str">
            <v>Upper-middle income</v>
          </cell>
        </row>
        <row r="215">
          <cell r="A215" t="str">
            <v>Grande Vitória</v>
          </cell>
          <cell r="B215" t="str">
            <v>Vitoria, Brazil</v>
          </cell>
          <cell r="C215" t="str">
            <v>South America</v>
          </cell>
          <cell r="D215" t="str">
            <v>Tropical</v>
          </cell>
          <cell r="E215" t="str">
            <v>Upper-middle income</v>
          </cell>
        </row>
        <row r="216">
          <cell r="A216" t="str">
            <v>RibeirãoPreto</v>
          </cell>
          <cell r="B216" t="str">
            <v>Sao Paulo State, Brazil</v>
          </cell>
          <cell r="C216" t="str">
            <v>South America</v>
          </cell>
          <cell r="D216" t="str">
            <v>Humid Subtropical</v>
          </cell>
          <cell r="E216" t="str">
            <v>Upper-middle income</v>
          </cell>
        </row>
        <row r="217">
          <cell r="A217" t="str">
            <v>São Paulo</v>
          </cell>
          <cell r="B217" t="str">
            <v>São Paulo, Brazil</v>
          </cell>
          <cell r="C217" t="str">
            <v>South America</v>
          </cell>
          <cell r="D217" t="str">
            <v>Humid Subtropical</v>
          </cell>
          <cell r="E217" t="str">
            <v>Upper-middle income</v>
          </cell>
        </row>
        <row r="218">
          <cell r="A218" t="str">
            <v>Sorocaba</v>
          </cell>
          <cell r="B218" t="str">
            <v>Sao Paulo State, Brazil</v>
          </cell>
          <cell r="C218" t="str">
            <v>South America</v>
          </cell>
          <cell r="D218" t="str">
            <v>Humid Subtropical</v>
          </cell>
          <cell r="E218" t="str">
            <v>Upper-middle income</v>
          </cell>
        </row>
        <row r="219">
          <cell r="A219" t="str">
            <v>Vale do Aço</v>
          </cell>
          <cell r="B219" t="str">
            <v>Minas Gerais, Brazil</v>
          </cell>
          <cell r="C219" t="str">
            <v>South America</v>
          </cell>
          <cell r="D219" t="str">
            <v>Tropical</v>
          </cell>
          <cell r="E219" t="str">
            <v>Upper-middle income</v>
          </cell>
        </row>
        <row r="220">
          <cell r="A220" t="str">
            <v>Vale do Paraíba e Litoral Norte</v>
          </cell>
          <cell r="B220" t="str">
            <v>Sao Paulo State, Brazil</v>
          </cell>
          <cell r="C220" t="str">
            <v>South America</v>
          </cell>
          <cell r="D220" t="str">
            <v>Humid Subtropical</v>
          </cell>
          <cell r="E220" t="str">
            <v>Upper-middle income</v>
          </cell>
        </row>
        <row r="221">
          <cell r="A221" t="str">
            <v>Campo Mourão</v>
          </cell>
          <cell r="B221" t="str">
            <v>Parana, Brazil</v>
          </cell>
          <cell r="C221" t="str">
            <v>South America</v>
          </cell>
          <cell r="D221" t="str">
            <v>Humid Subtropical</v>
          </cell>
          <cell r="E221" t="str">
            <v>Upper-middle income</v>
          </cell>
        </row>
        <row r="222">
          <cell r="A222" t="str">
            <v>Carbonífera</v>
          </cell>
          <cell r="B222" t="str">
            <v>Santa Catarina, Brazil</v>
          </cell>
          <cell r="C222" t="str">
            <v>South America</v>
          </cell>
          <cell r="D222" t="str">
            <v>Humid Subtropical</v>
          </cell>
          <cell r="E222" t="str">
            <v>Upper-middle income</v>
          </cell>
        </row>
        <row r="223">
          <cell r="A223" t="str">
            <v>Chapecó</v>
          </cell>
          <cell r="B223" t="str">
            <v>Santa Catarina, Brazil</v>
          </cell>
          <cell r="C223" t="str">
            <v>South America</v>
          </cell>
          <cell r="D223" t="str">
            <v>Humid Subtropical</v>
          </cell>
          <cell r="E223" t="str">
            <v>Upper-middle income</v>
          </cell>
        </row>
        <row r="224">
          <cell r="A224" t="str">
            <v>Contestado</v>
          </cell>
          <cell r="B224" t="str">
            <v>Santa Catarina, Brazil</v>
          </cell>
          <cell r="C224" t="str">
            <v>South America</v>
          </cell>
          <cell r="D224" t="str">
            <v>Humid Subtropical</v>
          </cell>
          <cell r="E224" t="str">
            <v>Upper-middle income</v>
          </cell>
        </row>
        <row r="225">
          <cell r="A225" t="str">
            <v>Curitiba</v>
          </cell>
          <cell r="B225" t="str">
            <v>Curitiba, Brazil</v>
          </cell>
          <cell r="C225" t="str">
            <v>South America</v>
          </cell>
          <cell r="D225" t="str">
            <v>Humid Subtropical</v>
          </cell>
          <cell r="E225" t="str">
            <v>Upper-middle income</v>
          </cell>
        </row>
        <row r="226">
          <cell r="A226" t="str">
            <v>Florianópolis</v>
          </cell>
          <cell r="B226" t="str">
            <v>Florianopolis, Brazil</v>
          </cell>
          <cell r="C226" t="str">
            <v>South America</v>
          </cell>
          <cell r="D226" t="str">
            <v>Humid Subtropical</v>
          </cell>
          <cell r="E226" t="str">
            <v>Upper-middle income</v>
          </cell>
        </row>
        <row r="227">
          <cell r="A227" t="str">
            <v>Lages</v>
          </cell>
          <cell r="B227" t="str">
            <v>Santa Catarina, Brazil</v>
          </cell>
          <cell r="C227" t="str">
            <v>South America</v>
          </cell>
          <cell r="D227" t="str">
            <v>Humid Subtropical</v>
          </cell>
          <cell r="E227" t="str">
            <v>Upper-middle income</v>
          </cell>
        </row>
        <row r="228">
          <cell r="A228" t="str">
            <v>Londrina</v>
          </cell>
          <cell r="B228" t="str">
            <v>Parana, Brazil</v>
          </cell>
          <cell r="C228" t="str">
            <v>South America</v>
          </cell>
          <cell r="D228" t="str">
            <v>Humid Subtropical</v>
          </cell>
          <cell r="E228" t="str">
            <v>Upper-middle income</v>
          </cell>
        </row>
        <row r="229">
          <cell r="A229" t="str">
            <v>Maringá</v>
          </cell>
          <cell r="B229" t="str">
            <v>Parana, Brazil</v>
          </cell>
          <cell r="C229" t="str">
            <v>South America</v>
          </cell>
          <cell r="D229" t="str">
            <v>Humid Subtropical</v>
          </cell>
          <cell r="E229" t="str">
            <v>Upper-middle income</v>
          </cell>
        </row>
        <row r="230">
          <cell r="A230" t="str">
            <v>Porto Alegre</v>
          </cell>
          <cell r="B230" t="str">
            <v>Porto Alegre, Brazil</v>
          </cell>
          <cell r="C230" t="str">
            <v>South America</v>
          </cell>
          <cell r="D230" t="str">
            <v>Humid Subtropical</v>
          </cell>
          <cell r="E230" t="str">
            <v>Upper-middle income</v>
          </cell>
        </row>
        <row r="231">
          <cell r="A231" t="str">
            <v>Serra Gaúcha</v>
          </cell>
          <cell r="B231" t="str">
            <v>Rio Grande do Sul, Brazil</v>
          </cell>
          <cell r="C231" t="str">
            <v>South America</v>
          </cell>
          <cell r="D231" t="str">
            <v>Humid Subtropical</v>
          </cell>
          <cell r="E231" t="str">
            <v>Upper-middle income</v>
          </cell>
        </row>
        <row r="232">
          <cell r="A232" t="str">
            <v>Vale do Itajaí</v>
          </cell>
          <cell r="B232" t="str">
            <v>Santa Catarina, Brazil</v>
          </cell>
          <cell r="C232" t="str">
            <v>South America</v>
          </cell>
          <cell r="D232" t="str">
            <v>Humid Subtropical</v>
          </cell>
          <cell r="E232" t="str">
            <v>Upper-middle income</v>
          </cell>
        </row>
        <row r="233">
          <cell r="A233" t="str">
            <v>--- Oceania ---</v>
          </cell>
          <cell r="B233" t="str">
            <v>  </v>
          </cell>
          <cell r="C233" t="str">
            <v>  </v>
          </cell>
          <cell r="D233" t="str">
            <v>  </v>
          </cell>
          <cell r="E233" t="str">
            <v>  </v>
          </cell>
        </row>
        <row r="234">
          <cell r="A234" t="str">
            <v>Australia</v>
          </cell>
          <cell r="B234" t="str">
            <v>Australia</v>
          </cell>
          <cell r="C234" t="str">
            <v>Oceania</v>
          </cell>
          <cell r="D234" t="str">
            <v>  </v>
          </cell>
          <cell r="E234" t="str">
            <v>High income</v>
          </cell>
        </row>
        <row r="235">
          <cell r="A235" t="str">
            <v>outage scenario in Victoria, Australia</v>
          </cell>
          <cell r="B235" t="str">
            <v>Australia (Victoria)</v>
          </cell>
          <cell r="C235" t="str">
            <v>Oceania</v>
          </cell>
          <cell r="D235" t="str">
            <v>Oceanic</v>
          </cell>
          <cell r="E235" t="str">
            <v>High income</v>
          </cell>
        </row>
        <row r="236">
          <cell r="A236" t="str">
            <v>non-outage scenario in Victoria, Australia</v>
          </cell>
          <cell r="B236" t="str">
            <v>Australia (Victoria)</v>
          </cell>
          <cell r="C236" t="str">
            <v>Oceania</v>
          </cell>
          <cell r="D236" t="str">
            <v>Oceanic</v>
          </cell>
          <cell r="E236" t="str">
            <v>High income</v>
          </cell>
        </row>
        <row r="237">
          <cell r="A237" t="str">
            <v>Original Input (原始数据)</v>
          </cell>
          <cell r="B237" t="str">
            <v>Standardized Location</v>
          </cell>
          <cell r="C237" t="str">
            <v>Continent</v>
          </cell>
          <cell r="D237" t="str">
            <v>Refined Climate Zone</v>
          </cell>
          <cell r="E237" t="str">
            <v>Income Level</v>
          </cell>
        </row>
        <row r="238">
          <cell r="A238" t="str">
            <v>North-West</v>
          </cell>
          <cell r="B238" t="str">
            <v>UK</v>
          </cell>
          <cell r="C238" t="str">
            <v>Europe</v>
          </cell>
          <cell r="D238" t="str">
            <v>Oceanic</v>
          </cell>
          <cell r="E238" t="str">
            <v>High income</v>
          </cell>
        </row>
        <row r="239">
          <cell r="A239" t="str">
            <v>Brisbane</v>
          </cell>
          <cell r="B239" t="str">
            <v>Brisbane, Australia</v>
          </cell>
          <cell r="C239" t="str">
            <v>Oceania</v>
          </cell>
          <cell r="D239" t="str">
            <v>Humid Subtropical</v>
          </cell>
          <cell r="E239" t="str">
            <v>High income</v>
          </cell>
        </row>
        <row r="240">
          <cell r="A240" t="str">
            <v>Rome</v>
          </cell>
          <cell r="B240" t="str">
            <v>Rome, Italy</v>
          </cell>
          <cell r="C240" t="str">
            <v>Europe</v>
          </cell>
          <cell r="D240" t="str">
            <v>Mediterranean</v>
          </cell>
          <cell r="E240" t="str">
            <v>High income</v>
          </cell>
        </row>
        <row r="241">
          <cell r="A241" t="str">
            <v>Turin</v>
          </cell>
          <cell r="B241" t="str">
            <v>Turin, Italy</v>
          </cell>
          <cell r="C241" t="str">
            <v>Europe</v>
          </cell>
          <cell r="D241" t="str">
            <v>Humid Subtropical</v>
          </cell>
          <cell r="E241" t="str">
            <v>High income</v>
          </cell>
        </row>
        <row r="242">
          <cell r="A242" t="str">
            <v>outage scenario in Victoria, Australia</v>
          </cell>
          <cell r="B242" t="str">
            <v>Australia (Victoria)</v>
          </cell>
          <cell r="C242" t="str">
            <v>Oceania</v>
          </cell>
          <cell r="D242" t="str">
            <v>Oceanic</v>
          </cell>
          <cell r="E242" t="str">
            <v>High income</v>
          </cell>
        </row>
        <row r="243">
          <cell r="A243" t="str">
            <v>outage  scenario in Victoria, Australia</v>
          </cell>
          <cell r="B243" t="str">
            <v>Australia (Victoria)</v>
          </cell>
          <cell r="C243" t="str">
            <v>Oceania</v>
          </cell>
          <cell r="D243" t="str">
            <v>Oceanic</v>
          </cell>
          <cell r="E243" t="str">
            <v>High income</v>
          </cell>
        </row>
        <row r="244">
          <cell r="A244" t="str">
            <v>Anhui,China</v>
          </cell>
          <cell r="B244" t="str">
            <v>Anhui, China</v>
          </cell>
          <cell r="C244" t="str">
            <v>Asia</v>
          </cell>
          <cell r="D244" t="str">
            <v>Humid Subtropical</v>
          </cell>
          <cell r="E244" t="str">
            <v>Upper-middle income</v>
          </cell>
        </row>
        <row r="245">
          <cell r="A245" t="str">
            <v>China </v>
          </cell>
          <cell r="B245" t="str">
            <v>China</v>
          </cell>
          <cell r="C245" t="str">
            <v>Asia</v>
          </cell>
          <cell r="D245" t="str">
            <v> </v>
          </cell>
          <cell r="E245" t="str">
            <v>Upper-middle income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pubmed.ncbi.nlm.nih.gov/?term=Kim+KN&amp;cauthor_id=36528107" TargetMode="External"/><Relationship Id="rId3" Type="http://schemas.openxmlformats.org/officeDocument/2006/relationships/hyperlink" Target="https://pubmed.ncbi.nlm.nih.gov/?term=Kim+KN&amp;cauthor_id=35660607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ubmed.ncbi.nlm.nih.gov/?term=Zhang+YQ&amp;cauthor_id=27412842" TargetMode="Externa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2"/>
  <sheetViews>
    <sheetView workbookViewId="0">
      <pane xSplit="1" topLeftCell="B1" activePane="topRight" state="frozen"/>
      <selection/>
      <selection pane="topRight" activeCell="G32" sqref="G32"/>
    </sheetView>
  </sheetViews>
  <sheetFormatPr defaultColWidth="9" defaultRowHeight="13.5"/>
  <cols>
    <col min="7" max="7" width="36.8407079646018" customWidth="1"/>
    <col min="17" max="17" width="64.4601769911504" customWidth="1"/>
    <col min="23" max="23" width="43.5486725663717" customWidth="1"/>
  </cols>
  <sheetData>
    <row r="1" ht="13.9" spans="1:100">
      <c r="A1" s="12" t="s">
        <v>0</v>
      </c>
      <c r="B1" s="13" t="s">
        <v>1</v>
      </c>
      <c r="C1" s="24" t="s">
        <v>2</v>
      </c>
      <c r="D1" s="24" t="s">
        <v>3</v>
      </c>
      <c r="E1" s="24" t="s">
        <v>4</v>
      </c>
      <c r="F1" s="25" t="s">
        <v>5</v>
      </c>
      <c r="G1" s="26" t="s">
        <v>6</v>
      </c>
      <c r="H1" s="26" t="s">
        <v>6</v>
      </c>
      <c r="I1" s="27" t="s">
        <v>7</v>
      </c>
      <c r="J1" s="26" t="s">
        <v>8</v>
      </c>
      <c r="K1" s="27" t="s">
        <v>9</v>
      </c>
      <c r="L1" s="26" t="s">
        <v>10</v>
      </c>
      <c r="M1" s="28" t="s">
        <v>11</v>
      </c>
      <c r="N1" s="24" t="s">
        <v>12</v>
      </c>
      <c r="O1" s="26" t="s">
        <v>13</v>
      </c>
      <c r="P1" s="24" t="s">
        <v>14</v>
      </c>
      <c r="Q1" s="24" t="s">
        <v>15</v>
      </c>
      <c r="R1" s="24" t="s">
        <v>16</v>
      </c>
      <c r="S1" s="26" t="s">
        <v>17</v>
      </c>
      <c r="T1" s="24" t="s">
        <v>18</v>
      </c>
      <c r="U1" s="32" t="s">
        <v>19</v>
      </c>
      <c r="V1" s="24" t="s">
        <v>20</v>
      </c>
      <c r="W1" s="24" t="s">
        <v>21</v>
      </c>
      <c r="X1" s="24"/>
      <c r="Y1" s="26" t="s">
        <v>22</v>
      </c>
      <c r="Z1" s="30" t="s">
        <v>23</v>
      </c>
      <c r="AA1" s="24" t="s">
        <v>24</v>
      </c>
      <c r="AB1" s="24" t="s">
        <v>25</v>
      </c>
    </row>
    <row r="2" ht="13.85" spans="1:100">
      <c r="A2" s="23">
        <v>155</v>
      </c>
      <c r="B2" s="23">
        <v>1</v>
      </c>
      <c r="C2" s="23" t="s">
        <v>26</v>
      </c>
      <c r="D2" s="23">
        <v>2024</v>
      </c>
      <c r="E2" s="23" t="s">
        <v>27</v>
      </c>
      <c r="F2" s="23" t="s">
        <v>28</v>
      </c>
      <c r="G2" s="23" t="s">
        <v>29</v>
      </c>
      <c r="H2" s="23" t="s">
        <v>29</v>
      </c>
      <c r="I2" s="23" t="s">
        <v>30</v>
      </c>
      <c r="J2" s="23" t="s">
        <v>31</v>
      </c>
      <c r="K2" s="23" t="s">
        <v>32</v>
      </c>
      <c r="L2" s="23"/>
      <c r="M2" s="23">
        <v>0.438</v>
      </c>
      <c r="N2" s="23" t="s">
        <v>33</v>
      </c>
      <c r="O2" s="23"/>
      <c r="P2" s="23"/>
      <c r="Q2" s="23" t="s">
        <v>34</v>
      </c>
      <c r="R2" s="23" t="s">
        <v>35</v>
      </c>
      <c r="S2" s="23"/>
      <c r="T2" s="23" t="s">
        <v>36</v>
      </c>
      <c r="U2" s="23">
        <v>10.5</v>
      </c>
      <c r="V2" s="23" t="s">
        <v>37</v>
      </c>
      <c r="W2" s="23" t="s">
        <v>38</v>
      </c>
      <c r="X2" s="23" t="s">
        <v>39</v>
      </c>
      <c r="Y2" s="23" t="s">
        <v>40</v>
      </c>
      <c r="Z2" s="23">
        <v>1.32</v>
      </c>
      <c r="AA2" s="23">
        <v>1.12</v>
      </c>
      <c r="AB2" s="23">
        <v>1.57</v>
      </c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</row>
    <row r="3" ht="13.85" spans="1:100">
      <c r="A3" s="23">
        <v>237</v>
      </c>
      <c r="B3" s="23">
        <v>1</v>
      </c>
      <c r="C3" s="23"/>
      <c r="D3" s="23">
        <v>2022</v>
      </c>
      <c r="E3" s="23"/>
      <c r="F3" s="23" t="s">
        <v>28</v>
      </c>
      <c r="G3" s="23" t="s">
        <v>41</v>
      </c>
      <c r="H3" s="23" t="s">
        <v>41</v>
      </c>
      <c r="I3" s="23" t="s">
        <v>30</v>
      </c>
      <c r="J3" s="23" t="s">
        <v>31</v>
      </c>
      <c r="K3" s="23" t="s">
        <v>32</v>
      </c>
      <c r="L3" s="23"/>
      <c r="M3" s="23">
        <v>0.471</v>
      </c>
      <c r="N3" s="23" t="s">
        <v>42</v>
      </c>
      <c r="O3" s="23"/>
      <c r="P3" s="23"/>
      <c r="Q3" s="23" t="s">
        <v>43</v>
      </c>
      <c r="R3" s="23" t="s">
        <v>35</v>
      </c>
      <c r="S3" s="23"/>
      <c r="T3" s="23" t="s">
        <v>44</v>
      </c>
      <c r="U3" s="23">
        <v>4</v>
      </c>
      <c r="V3" s="23" t="s">
        <v>37</v>
      </c>
      <c r="W3" s="23" t="s">
        <v>45</v>
      </c>
      <c r="X3" s="23" t="s">
        <v>39</v>
      </c>
      <c r="Y3" s="23" t="s">
        <v>46</v>
      </c>
      <c r="Z3" s="23">
        <v>1.03</v>
      </c>
      <c r="AA3" s="23">
        <v>0.97</v>
      </c>
      <c r="AB3" s="23">
        <v>1.03</v>
      </c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</row>
    <row r="4" ht="13" customHeight="1" spans="1:100">
      <c r="A4" s="23">
        <v>576</v>
      </c>
      <c r="B4" s="23">
        <v>1</v>
      </c>
      <c r="C4" s="23"/>
      <c r="D4" s="23">
        <v>2021</v>
      </c>
      <c r="E4" s="23"/>
      <c r="F4" s="23" t="s">
        <v>28</v>
      </c>
      <c r="G4" s="23" t="s">
        <v>47</v>
      </c>
      <c r="H4" s="23" t="s">
        <v>47</v>
      </c>
      <c r="I4" s="23" t="s">
        <v>30</v>
      </c>
      <c r="J4" s="23" t="s">
        <v>48</v>
      </c>
      <c r="K4" s="23" t="s">
        <v>32</v>
      </c>
      <c r="L4" s="23"/>
      <c r="M4" s="23">
        <v>0.62</v>
      </c>
      <c r="N4" s="23" t="s">
        <v>33</v>
      </c>
      <c r="O4" s="23"/>
      <c r="P4" s="23"/>
      <c r="Q4" s="23"/>
      <c r="R4" s="23" t="s">
        <v>49</v>
      </c>
      <c r="S4" s="23"/>
      <c r="T4" s="23" t="s">
        <v>50</v>
      </c>
      <c r="U4" s="23">
        <v>7</v>
      </c>
      <c r="V4" s="23" t="s">
        <v>37</v>
      </c>
      <c r="W4" s="23" t="s">
        <v>38</v>
      </c>
      <c r="X4" s="23" t="s">
        <v>39</v>
      </c>
      <c r="Y4" s="23" t="s">
        <v>40</v>
      </c>
      <c r="Z4" s="23">
        <v>1.72</v>
      </c>
      <c r="AA4" s="23">
        <v>1</v>
      </c>
      <c r="AB4" s="23">
        <v>2.95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</row>
    <row r="5" ht="13" customHeight="1" spans="1:100">
      <c r="A5" s="23">
        <v>728</v>
      </c>
      <c r="B5" s="23">
        <v>1</v>
      </c>
      <c r="C5" s="23"/>
      <c r="D5" s="23">
        <v>2010</v>
      </c>
      <c r="E5" s="23"/>
      <c r="F5" s="23" t="s">
        <v>28</v>
      </c>
      <c r="G5" s="23" t="s">
        <v>51</v>
      </c>
      <c r="H5" s="23" t="s">
        <v>51</v>
      </c>
      <c r="I5" s="23" t="s">
        <v>30</v>
      </c>
      <c r="J5" s="23" t="s">
        <v>52</v>
      </c>
      <c r="K5" s="23" t="s">
        <v>32</v>
      </c>
      <c r="L5" s="23"/>
      <c r="M5" s="23"/>
      <c r="N5" s="23" t="s">
        <v>33</v>
      </c>
      <c r="O5" s="23"/>
      <c r="P5" s="23"/>
      <c r="Q5" s="23" t="s">
        <v>53</v>
      </c>
      <c r="R5" s="23" t="s">
        <v>35</v>
      </c>
      <c r="S5" s="23"/>
      <c r="T5" s="23" t="s">
        <v>54</v>
      </c>
      <c r="U5" s="23">
        <v>10</v>
      </c>
      <c r="V5" s="23" t="s">
        <v>37</v>
      </c>
      <c r="W5" s="23" t="s">
        <v>55</v>
      </c>
      <c r="X5" s="23" t="s">
        <v>39</v>
      </c>
      <c r="Y5" s="23" t="s">
        <v>40</v>
      </c>
      <c r="Z5" s="23">
        <v>1.6</v>
      </c>
      <c r="AA5" s="23">
        <v>1.05</v>
      </c>
      <c r="AB5" s="23">
        <v>2.15</v>
      </c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</row>
    <row r="6" ht="13" customHeight="1" spans="1:100">
      <c r="A6" s="23">
        <v>728</v>
      </c>
      <c r="B6" s="23">
        <v>2</v>
      </c>
      <c r="C6" s="23"/>
      <c r="D6" s="23">
        <v>2010</v>
      </c>
      <c r="E6" s="23"/>
      <c r="F6" s="23" t="s">
        <v>28</v>
      </c>
      <c r="G6" s="23" t="s">
        <v>51</v>
      </c>
      <c r="H6" s="23" t="s">
        <v>51</v>
      </c>
      <c r="I6" s="23" t="s">
        <v>30</v>
      </c>
      <c r="J6" s="23" t="s">
        <v>52</v>
      </c>
      <c r="K6" s="23" t="s">
        <v>32</v>
      </c>
      <c r="L6" s="23"/>
      <c r="M6" s="23"/>
      <c r="N6" s="23" t="s">
        <v>33</v>
      </c>
      <c r="O6" s="23"/>
      <c r="P6" s="23"/>
      <c r="Q6" s="23"/>
      <c r="R6" s="23" t="s">
        <v>35</v>
      </c>
      <c r="S6" s="23"/>
      <c r="T6" s="23" t="s">
        <v>54</v>
      </c>
      <c r="U6" s="23">
        <v>10</v>
      </c>
      <c r="V6" s="23" t="s">
        <v>37</v>
      </c>
      <c r="W6" s="23" t="s">
        <v>56</v>
      </c>
      <c r="X6" s="23" t="s">
        <v>39</v>
      </c>
      <c r="Y6" s="23" t="s">
        <v>40</v>
      </c>
      <c r="Z6" s="23">
        <v>2.31</v>
      </c>
      <c r="AA6" s="23">
        <v>1.63</v>
      </c>
      <c r="AB6" s="23">
        <v>2.99</v>
      </c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</row>
    <row r="7" ht="13" customHeight="1" spans="1:100">
      <c r="A7" s="23">
        <v>749</v>
      </c>
      <c r="B7" s="23">
        <v>1</v>
      </c>
      <c r="C7" s="23" t="s">
        <v>57</v>
      </c>
      <c r="D7" s="23">
        <v>2017</v>
      </c>
      <c r="E7" s="23" t="s">
        <v>58</v>
      </c>
      <c r="F7" s="23" t="s">
        <v>28</v>
      </c>
      <c r="G7" s="23" t="s">
        <v>59</v>
      </c>
      <c r="H7" s="23" t="s">
        <v>59</v>
      </c>
      <c r="I7" s="23" t="s">
        <v>60</v>
      </c>
      <c r="J7" s="23" t="s">
        <v>52</v>
      </c>
      <c r="K7" s="23" t="s">
        <v>61</v>
      </c>
      <c r="L7" s="23">
        <v>1760</v>
      </c>
      <c r="M7" s="23">
        <v>0.7176</v>
      </c>
      <c r="N7" s="23" t="s">
        <v>42</v>
      </c>
      <c r="O7" s="23"/>
      <c r="P7" s="23" t="s">
        <v>62</v>
      </c>
      <c r="Q7" s="23" t="s">
        <v>63</v>
      </c>
      <c r="R7" s="23" t="s">
        <v>35</v>
      </c>
      <c r="S7" s="23"/>
      <c r="T7" s="23"/>
      <c r="U7" s="23"/>
      <c r="V7" s="23" t="s">
        <v>64</v>
      </c>
      <c r="W7" s="23" t="s">
        <v>65</v>
      </c>
      <c r="X7" s="23" t="s">
        <v>39</v>
      </c>
      <c r="Y7" s="23" t="s">
        <v>46</v>
      </c>
      <c r="Z7" s="23">
        <v>1.36</v>
      </c>
      <c r="AA7" s="23">
        <v>0.91</v>
      </c>
      <c r="AB7" s="23">
        <v>2.04</v>
      </c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</row>
    <row r="8" ht="13.85" spans="1:100">
      <c r="A8" s="23">
        <v>1115</v>
      </c>
      <c r="B8" s="23">
        <v>1</v>
      </c>
      <c r="C8" s="23"/>
      <c r="D8" s="23"/>
      <c r="E8" s="23"/>
      <c r="F8" s="23" t="s">
        <v>28</v>
      </c>
      <c r="G8" s="23" t="s">
        <v>66</v>
      </c>
      <c r="H8" s="23" t="s">
        <v>67</v>
      </c>
      <c r="I8" s="23" t="s">
        <v>30</v>
      </c>
      <c r="J8" s="23" t="s">
        <v>48</v>
      </c>
      <c r="K8" s="23" t="s">
        <v>32</v>
      </c>
      <c r="L8" s="23" t="s">
        <v>68</v>
      </c>
      <c r="M8" s="23" t="s">
        <v>69</v>
      </c>
      <c r="N8" s="23" t="s">
        <v>42</v>
      </c>
      <c r="O8" s="23" t="s">
        <v>70</v>
      </c>
      <c r="P8" s="23" t="s">
        <v>71</v>
      </c>
      <c r="Q8" s="23" t="s">
        <v>72</v>
      </c>
      <c r="R8" s="23" t="s">
        <v>35</v>
      </c>
      <c r="S8" s="23" t="s">
        <v>73</v>
      </c>
      <c r="T8" s="23" t="s">
        <v>74</v>
      </c>
      <c r="U8" s="23">
        <v>2</v>
      </c>
      <c r="V8" s="23" t="s">
        <v>37</v>
      </c>
      <c r="W8" s="23" t="s">
        <v>75</v>
      </c>
      <c r="X8" s="23" t="s">
        <v>39</v>
      </c>
      <c r="Y8" s="23" t="s">
        <v>46</v>
      </c>
      <c r="Z8" s="23">
        <v>1.098</v>
      </c>
      <c r="AA8" s="23">
        <v>1.043</v>
      </c>
      <c r="AB8" s="23">
        <v>1.156</v>
      </c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</row>
    <row r="9" ht="13.85" spans="1:100">
      <c r="A9" s="23">
        <v>1141</v>
      </c>
      <c r="B9" s="23">
        <v>1</v>
      </c>
      <c r="C9" s="23"/>
      <c r="D9" s="23"/>
      <c r="E9" s="23"/>
      <c r="F9" s="23" t="s">
        <v>76</v>
      </c>
      <c r="G9" s="23" t="s">
        <v>77</v>
      </c>
      <c r="H9" s="23" t="s">
        <v>77</v>
      </c>
      <c r="I9" s="23" t="s">
        <v>30</v>
      </c>
      <c r="J9" s="23" t="s">
        <v>48</v>
      </c>
      <c r="K9" s="23" t="s">
        <v>32</v>
      </c>
      <c r="L9" s="23" t="s">
        <v>78</v>
      </c>
      <c r="M9" s="23" t="s">
        <v>69</v>
      </c>
      <c r="N9" s="23" t="s">
        <v>33</v>
      </c>
      <c r="O9" s="23" t="s">
        <v>79</v>
      </c>
      <c r="P9" s="23" t="s">
        <v>80</v>
      </c>
      <c r="Q9" s="23" t="s">
        <v>81</v>
      </c>
      <c r="R9" s="23" t="s">
        <v>35</v>
      </c>
      <c r="S9" s="23" t="s">
        <v>73</v>
      </c>
      <c r="T9" s="23" t="s">
        <v>82</v>
      </c>
      <c r="U9" s="23">
        <v>3.5</v>
      </c>
      <c r="V9" s="23" t="s">
        <v>37</v>
      </c>
      <c r="W9" s="23" t="s">
        <v>83</v>
      </c>
      <c r="X9" s="23" t="s">
        <v>84</v>
      </c>
      <c r="Y9" s="23" t="s">
        <v>40</v>
      </c>
      <c r="Z9" s="23">
        <v>1.303</v>
      </c>
      <c r="AA9" s="23">
        <v>1.293</v>
      </c>
      <c r="AB9" s="23">
        <v>1.313</v>
      </c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</row>
    <row r="10" s="1" customFormat="1" ht="13.9" spans="1:100">
      <c r="A10" s="23">
        <v>136</v>
      </c>
      <c r="B10" s="23">
        <v>1</v>
      </c>
      <c r="C10" s="23" t="s">
        <v>85</v>
      </c>
      <c r="D10" s="23">
        <v>2019</v>
      </c>
      <c r="E10" s="23" t="s">
        <v>86</v>
      </c>
      <c r="F10" s="23" t="s">
        <v>87</v>
      </c>
      <c r="G10" s="23" t="s">
        <v>88</v>
      </c>
      <c r="H10" s="23" t="str">
        <f>VLOOKUP(G10,[1]Sheet1!A:E,2,FALSE)</f>
        <v>China</v>
      </c>
      <c r="I10" s="23" t="str">
        <f>VLOOKUP(G10,[1]Sheet1!A:E,3,FALSE)</f>
        <v>Asia</v>
      </c>
      <c r="J10" s="23" t="str">
        <f>VLOOKUP(G10,[1]Sheet1!A:E,4,FALSE)</f>
        <v>Mixed</v>
      </c>
      <c r="K10" s="23" t="str">
        <f>VLOOKUP(G10,[1]Sheet1!A:E,5,FALSE)</f>
        <v>Upper-middle income</v>
      </c>
      <c r="L10" s="23" t="s">
        <v>89</v>
      </c>
      <c r="M10" s="23"/>
      <c r="N10" s="23" t="s">
        <v>90</v>
      </c>
      <c r="O10" s="23"/>
      <c r="P10" s="23" t="s">
        <v>91</v>
      </c>
      <c r="Q10" s="23" t="s">
        <v>92</v>
      </c>
      <c r="R10" s="23" t="s">
        <v>35</v>
      </c>
      <c r="S10" s="23"/>
      <c r="T10" s="23" t="s">
        <v>93</v>
      </c>
      <c r="U10" s="23">
        <v>13.5</v>
      </c>
      <c r="V10" s="23" t="s">
        <v>37</v>
      </c>
      <c r="W10" s="23" t="s">
        <v>39</v>
      </c>
      <c r="X10" s="23" t="s">
        <v>39</v>
      </c>
      <c r="Y10" s="23" t="s">
        <v>40</v>
      </c>
      <c r="Z10" s="23">
        <v>1.59</v>
      </c>
      <c r="AA10" s="23">
        <v>1.37</v>
      </c>
      <c r="AB10" s="23">
        <v>1.81</v>
      </c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</row>
    <row r="11" s="1" customFormat="1" ht="13.85" spans="1:100">
      <c r="A11" s="23">
        <v>136</v>
      </c>
      <c r="B11" s="23">
        <v>2</v>
      </c>
      <c r="C11" s="23"/>
      <c r="D11" s="23">
        <v>2019</v>
      </c>
      <c r="E11" s="23"/>
      <c r="F11" s="23" t="s">
        <v>76</v>
      </c>
      <c r="G11" s="23" t="s">
        <v>88</v>
      </c>
      <c r="H11" s="23" t="str">
        <f>VLOOKUP(G11,[1]Sheet1!A:E,2,FALSE)</f>
        <v>China</v>
      </c>
      <c r="I11" s="23" t="str">
        <f>VLOOKUP(G11,[1]Sheet1!A:E,3,FALSE)</f>
        <v>Asia</v>
      </c>
      <c r="J11" s="23" t="str">
        <f>VLOOKUP(G11,[1]Sheet1!A:E,4,FALSE)</f>
        <v>Mixed</v>
      </c>
      <c r="K11" s="23" t="str">
        <f>VLOOKUP(G11,[1]Sheet1!A:E,5,FALSE)</f>
        <v>Upper-middle income</v>
      </c>
      <c r="L11" s="23"/>
      <c r="M11" s="23"/>
      <c r="N11" s="23" t="s">
        <v>90</v>
      </c>
      <c r="O11" s="23"/>
      <c r="P11" s="23"/>
      <c r="Q11" s="23"/>
      <c r="R11" s="23" t="s">
        <v>35</v>
      </c>
      <c r="S11" s="23"/>
      <c r="T11" s="23" t="s">
        <v>93</v>
      </c>
      <c r="U11" s="23">
        <v>13.5</v>
      </c>
      <c r="V11" s="23" t="s">
        <v>37</v>
      </c>
      <c r="W11" s="23" t="s">
        <v>39</v>
      </c>
      <c r="X11" s="23" t="s">
        <v>39</v>
      </c>
      <c r="Y11" s="23" t="s">
        <v>40</v>
      </c>
      <c r="Z11" s="23">
        <v>1.59</v>
      </c>
      <c r="AA11" s="23">
        <v>1.39</v>
      </c>
      <c r="AB11" s="23">
        <v>1.78</v>
      </c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</row>
    <row r="12" ht="13.85" spans="1:100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</sheetData>
  <autoFilter xmlns:etc="http://www.wps.cn/officeDocument/2017/etCustomData" ref="A1:AB11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4"/>
  <sheetViews>
    <sheetView workbookViewId="0">
      <pane xSplit="1" topLeftCell="B1" activePane="topRight" state="frozen"/>
      <selection/>
      <selection pane="topRight" activeCell="G28" sqref="G28"/>
    </sheetView>
  </sheetViews>
  <sheetFormatPr defaultColWidth="9" defaultRowHeight="13.5"/>
  <cols>
    <col min="7" max="7" width="33.7964601769912" customWidth="1"/>
    <col min="17" max="17" width="78.4601769911504" customWidth="1"/>
    <col min="23" max="23" width="54.5663716814159" customWidth="1"/>
  </cols>
  <sheetData>
    <row r="1" ht="13.9" spans="1:56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6" t="s">
        <v>6</v>
      </c>
      <c r="I1" s="17" t="s">
        <v>7</v>
      </c>
      <c r="J1" s="16" t="s">
        <v>8</v>
      </c>
      <c r="K1" s="17" t="s">
        <v>9</v>
      </c>
      <c r="L1" s="16" t="s">
        <v>10</v>
      </c>
      <c r="M1" s="18" t="s">
        <v>11</v>
      </c>
      <c r="N1" s="14" t="s">
        <v>94</v>
      </c>
      <c r="O1" s="16" t="s">
        <v>13</v>
      </c>
      <c r="P1" s="14" t="s">
        <v>14</v>
      </c>
      <c r="Q1" s="14" t="s">
        <v>15</v>
      </c>
      <c r="R1" s="14" t="s">
        <v>16</v>
      </c>
      <c r="S1" s="16" t="s">
        <v>17</v>
      </c>
      <c r="T1" s="14" t="s">
        <v>18</v>
      </c>
      <c r="U1" s="33" t="s">
        <v>19</v>
      </c>
      <c r="V1" s="14" t="s">
        <v>20</v>
      </c>
      <c r="W1" s="14" t="s">
        <v>21</v>
      </c>
      <c r="X1" s="14"/>
      <c r="Y1" s="16" t="s">
        <v>22</v>
      </c>
      <c r="Z1" s="15" t="s">
        <v>23</v>
      </c>
      <c r="AA1" s="14" t="s">
        <v>24</v>
      </c>
      <c r="AB1" s="14" t="s">
        <v>25</v>
      </c>
    </row>
    <row r="2" ht="13.85" spans="1:56">
      <c r="A2" s="17">
        <v>150</v>
      </c>
      <c r="B2" s="17">
        <v>1</v>
      </c>
      <c r="C2" s="17"/>
      <c r="D2" s="17">
        <v>2021</v>
      </c>
      <c r="E2" s="17"/>
      <c r="F2" s="17" t="s">
        <v>28</v>
      </c>
      <c r="G2" s="17" t="s">
        <v>95</v>
      </c>
      <c r="H2" s="17" t="s">
        <v>95</v>
      </c>
      <c r="I2" s="17" t="s">
        <v>30</v>
      </c>
      <c r="J2" s="17" t="s">
        <v>31</v>
      </c>
      <c r="K2" s="17" t="s">
        <v>32</v>
      </c>
      <c r="L2" s="17"/>
      <c r="M2" s="17">
        <v>0.4</v>
      </c>
      <c r="N2" s="17"/>
      <c r="O2" s="17"/>
      <c r="P2" s="17"/>
      <c r="Q2" s="17"/>
      <c r="R2" s="17" t="s">
        <v>35</v>
      </c>
      <c r="S2" s="17"/>
      <c r="T2" s="17" t="s">
        <v>36</v>
      </c>
      <c r="U2" s="17">
        <v>10.5</v>
      </c>
      <c r="V2" s="17" t="s">
        <v>37</v>
      </c>
      <c r="W2" s="17" t="s">
        <v>96</v>
      </c>
      <c r="X2" s="17" t="s">
        <v>97</v>
      </c>
      <c r="Y2" s="17" t="s">
        <v>40</v>
      </c>
      <c r="Z2" s="17">
        <v>1.189</v>
      </c>
      <c r="AA2" s="17">
        <v>0.852</v>
      </c>
      <c r="AB2" s="17">
        <v>1.661</v>
      </c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</row>
    <row r="3" ht="13.85" spans="1:56">
      <c r="A3" s="17">
        <v>218</v>
      </c>
      <c r="B3" s="17">
        <v>1</v>
      </c>
      <c r="C3" s="17"/>
      <c r="D3" s="17">
        <v>2023</v>
      </c>
      <c r="E3" s="17"/>
      <c r="F3" s="17" t="s">
        <v>98</v>
      </c>
      <c r="G3" s="17" t="s">
        <v>47</v>
      </c>
      <c r="H3" s="17" t="s">
        <v>47</v>
      </c>
      <c r="I3" s="17" t="s">
        <v>30</v>
      </c>
      <c r="J3" s="17" t="s">
        <v>48</v>
      </c>
      <c r="K3" s="17" t="s">
        <v>32</v>
      </c>
      <c r="L3" s="17"/>
      <c r="M3" s="17">
        <v>0.551</v>
      </c>
      <c r="N3" s="17" t="s">
        <v>33</v>
      </c>
      <c r="O3" s="17"/>
      <c r="P3" s="17"/>
      <c r="Q3" s="17" t="s">
        <v>99</v>
      </c>
      <c r="R3" s="17" t="s">
        <v>35</v>
      </c>
      <c r="S3" s="17"/>
      <c r="T3" s="17" t="s">
        <v>100</v>
      </c>
      <c r="U3" s="17">
        <v>3</v>
      </c>
      <c r="V3" s="17" t="s">
        <v>37</v>
      </c>
      <c r="W3" s="17" t="s">
        <v>101</v>
      </c>
      <c r="X3" s="17" t="s">
        <v>97</v>
      </c>
      <c r="Y3" s="17" t="s">
        <v>40</v>
      </c>
      <c r="Z3" s="17">
        <v>1.05</v>
      </c>
      <c r="AA3" s="17">
        <v>0.93</v>
      </c>
      <c r="AB3" s="17">
        <v>1.19</v>
      </c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</row>
    <row r="4" ht="13.85" spans="1:56">
      <c r="A4" s="17">
        <v>282</v>
      </c>
      <c r="B4" s="17">
        <v>1</v>
      </c>
      <c r="C4" s="17"/>
      <c r="D4" s="17">
        <v>2019</v>
      </c>
      <c r="E4" s="17"/>
      <c r="F4" s="17" t="s">
        <v>28</v>
      </c>
      <c r="G4" s="17" t="s">
        <v>102</v>
      </c>
      <c r="H4" s="17" t="s">
        <v>102</v>
      </c>
      <c r="I4" s="17" t="s">
        <v>30</v>
      </c>
      <c r="J4" s="17" t="s">
        <v>48</v>
      </c>
      <c r="K4" s="17" t="s">
        <v>32</v>
      </c>
      <c r="L4" s="17"/>
      <c r="M4" s="17"/>
      <c r="N4" s="17"/>
      <c r="O4" s="17"/>
      <c r="P4" s="17"/>
      <c r="Q4" s="17" t="s">
        <v>103</v>
      </c>
      <c r="R4" s="17" t="s">
        <v>35</v>
      </c>
      <c r="S4" s="17"/>
      <c r="T4" s="17" t="s">
        <v>36</v>
      </c>
      <c r="U4" s="17">
        <v>10.5</v>
      </c>
      <c r="V4" s="17" t="s">
        <v>37</v>
      </c>
      <c r="W4" s="17" t="s">
        <v>104</v>
      </c>
      <c r="X4" s="17" t="s">
        <v>97</v>
      </c>
      <c r="Y4" s="17" t="s">
        <v>40</v>
      </c>
      <c r="Z4" s="17">
        <v>1.872</v>
      </c>
      <c r="AA4" s="17">
        <v>0.881</v>
      </c>
      <c r="AB4" s="17">
        <v>3.977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</row>
    <row r="5" ht="13.85" spans="1:56">
      <c r="A5" s="17">
        <v>415</v>
      </c>
      <c r="B5" s="17">
        <v>1</v>
      </c>
      <c r="C5" s="17" t="s">
        <v>105</v>
      </c>
      <c r="D5" s="17">
        <v>2022</v>
      </c>
      <c r="E5" s="17" t="s">
        <v>106</v>
      </c>
      <c r="F5" s="17" t="s">
        <v>28</v>
      </c>
      <c r="G5" s="17" t="s">
        <v>107</v>
      </c>
      <c r="H5" s="17" t="s">
        <v>108</v>
      </c>
      <c r="I5" s="17" t="s">
        <v>30</v>
      </c>
      <c r="J5" s="17" t="s">
        <v>31</v>
      </c>
      <c r="K5" s="17" t="s">
        <v>61</v>
      </c>
      <c r="L5" s="17">
        <v>143313</v>
      </c>
      <c r="M5" s="17" t="s">
        <v>69</v>
      </c>
      <c r="N5" s="17" t="s">
        <v>33</v>
      </c>
      <c r="O5" s="17"/>
      <c r="P5" s="17" t="s">
        <v>109</v>
      </c>
      <c r="Q5" s="17" t="s">
        <v>110</v>
      </c>
      <c r="R5" s="17" t="s">
        <v>35</v>
      </c>
      <c r="S5" s="17"/>
      <c r="T5" s="17" t="s">
        <v>36</v>
      </c>
      <c r="U5" s="17">
        <v>10.5</v>
      </c>
      <c r="V5" s="17" t="s">
        <v>37</v>
      </c>
      <c r="W5" s="17" t="s">
        <v>111</v>
      </c>
      <c r="X5" s="17" t="s">
        <v>97</v>
      </c>
      <c r="Y5" s="17" t="s">
        <v>40</v>
      </c>
      <c r="Z5" s="17">
        <v>1.45</v>
      </c>
      <c r="AA5" s="17">
        <v>1.21</v>
      </c>
      <c r="AB5" s="17">
        <v>1.73</v>
      </c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</row>
    <row r="6" ht="13.85" spans="1:56">
      <c r="A6" s="17">
        <v>416</v>
      </c>
      <c r="B6" s="17">
        <v>1</v>
      </c>
      <c r="C6" s="17" t="s">
        <v>112</v>
      </c>
      <c r="D6" s="17">
        <v>2023</v>
      </c>
      <c r="E6" s="17" t="s">
        <v>106</v>
      </c>
      <c r="F6" s="17" t="s">
        <v>28</v>
      </c>
      <c r="G6" s="17" t="s">
        <v>107</v>
      </c>
      <c r="H6" s="17" t="s">
        <v>108</v>
      </c>
      <c r="I6" s="17" t="s">
        <v>30</v>
      </c>
      <c r="J6" s="17" t="s">
        <v>31</v>
      </c>
      <c r="K6" s="17" t="s">
        <v>61</v>
      </c>
      <c r="L6" s="17" t="s">
        <v>89</v>
      </c>
      <c r="M6" s="17" t="s">
        <v>69</v>
      </c>
      <c r="N6" s="17" t="s">
        <v>33</v>
      </c>
      <c r="O6" s="17"/>
      <c r="P6" s="17" t="s">
        <v>109</v>
      </c>
      <c r="Q6" s="17" t="s">
        <v>113</v>
      </c>
      <c r="R6" s="17" t="s">
        <v>35</v>
      </c>
      <c r="S6" s="17"/>
      <c r="T6" s="17" t="s">
        <v>36</v>
      </c>
      <c r="U6" s="17">
        <v>10.5</v>
      </c>
      <c r="V6" s="17" t="s">
        <v>37</v>
      </c>
      <c r="W6" s="17" t="s">
        <v>114</v>
      </c>
      <c r="X6" s="17" t="s">
        <v>97</v>
      </c>
      <c r="Y6" s="17" t="s">
        <v>40</v>
      </c>
      <c r="Z6" s="17">
        <v>2.19</v>
      </c>
      <c r="AA6" s="17">
        <v>1.63</v>
      </c>
      <c r="AB6" s="17">
        <v>2.93</v>
      </c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</row>
    <row r="7" ht="13.85" spans="1:56">
      <c r="A7" s="17">
        <v>513</v>
      </c>
      <c r="B7" s="17">
        <v>1</v>
      </c>
      <c r="C7" s="17"/>
      <c r="D7" s="17">
        <v>2021</v>
      </c>
      <c r="E7" s="17"/>
      <c r="F7" s="17" t="s">
        <v>28</v>
      </c>
      <c r="G7" s="17" t="s">
        <v>95</v>
      </c>
      <c r="H7" s="17" t="s">
        <v>95</v>
      </c>
      <c r="I7" s="17" t="s">
        <v>30</v>
      </c>
      <c r="J7" s="17" t="s">
        <v>31</v>
      </c>
      <c r="K7" s="17" t="s">
        <v>32</v>
      </c>
      <c r="L7" s="17"/>
      <c r="M7" s="17"/>
      <c r="N7" s="17" t="s">
        <v>33</v>
      </c>
      <c r="O7" s="17"/>
      <c r="P7" s="17"/>
      <c r="Q7" s="17" t="s">
        <v>115</v>
      </c>
      <c r="R7" s="17" t="s">
        <v>35</v>
      </c>
      <c r="S7" s="17"/>
      <c r="T7" s="17" t="s">
        <v>36</v>
      </c>
      <c r="U7" s="17">
        <v>10.5</v>
      </c>
      <c r="V7" s="17" t="s">
        <v>37</v>
      </c>
      <c r="W7" s="17" t="s">
        <v>116</v>
      </c>
      <c r="X7" s="17" t="s">
        <v>97</v>
      </c>
      <c r="Y7" s="17" t="s">
        <v>40</v>
      </c>
      <c r="Z7" s="17">
        <v>1.456</v>
      </c>
      <c r="AA7" s="17">
        <v>1.244</v>
      </c>
      <c r="AB7" s="17">
        <v>1.705</v>
      </c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</row>
    <row r="8" ht="13.85" spans="1:56">
      <c r="A8" s="17">
        <v>683</v>
      </c>
      <c r="B8" s="17">
        <v>1</v>
      </c>
      <c r="C8" s="17"/>
      <c r="D8" s="17">
        <v>2017</v>
      </c>
      <c r="E8" s="17"/>
      <c r="F8" s="17" t="s">
        <v>28</v>
      </c>
      <c r="G8" s="17" t="s">
        <v>117</v>
      </c>
      <c r="H8" s="17" t="s">
        <v>118</v>
      </c>
      <c r="I8" s="17" t="s">
        <v>60</v>
      </c>
      <c r="J8" s="17" t="s">
        <v>119</v>
      </c>
      <c r="K8" s="17" t="s">
        <v>61</v>
      </c>
      <c r="L8" s="17"/>
      <c r="M8" s="17"/>
      <c r="N8" s="17" t="s">
        <v>42</v>
      </c>
      <c r="O8" s="17"/>
      <c r="P8" s="17"/>
      <c r="Q8" s="17"/>
      <c r="R8" s="17" t="s">
        <v>35</v>
      </c>
      <c r="S8" s="17"/>
      <c r="T8" s="17" t="s">
        <v>82</v>
      </c>
      <c r="U8" s="17">
        <v>3.5</v>
      </c>
      <c r="V8" s="17" t="s">
        <v>37</v>
      </c>
      <c r="W8" s="17" t="s">
        <v>120</v>
      </c>
      <c r="X8" s="17" t="s">
        <v>97</v>
      </c>
      <c r="Y8" s="17" t="s">
        <v>121</v>
      </c>
      <c r="Z8" s="17">
        <v>1.23</v>
      </c>
      <c r="AA8" s="17">
        <v>1.18</v>
      </c>
      <c r="AB8" s="17">
        <v>1.31</v>
      </c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</row>
    <row r="9" ht="13.85" spans="1:56">
      <c r="A9" s="17">
        <v>934</v>
      </c>
      <c r="B9" s="17">
        <v>1</v>
      </c>
      <c r="C9" s="17"/>
      <c r="D9" s="17">
        <v>2024</v>
      </c>
      <c r="E9" s="17"/>
      <c r="F9" s="17" t="s">
        <v>87</v>
      </c>
      <c r="G9" s="17" t="s">
        <v>88</v>
      </c>
      <c r="H9" s="17" t="s">
        <v>88</v>
      </c>
      <c r="I9" s="17" t="s">
        <v>30</v>
      </c>
      <c r="J9" s="17" t="s">
        <v>122</v>
      </c>
      <c r="K9" s="17" t="s">
        <v>32</v>
      </c>
      <c r="L9" s="17"/>
      <c r="M9" s="17">
        <v>0.5633</v>
      </c>
      <c r="N9" s="17" t="s">
        <v>42</v>
      </c>
      <c r="O9" s="17"/>
      <c r="P9" s="17"/>
      <c r="Q9" s="17" t="s">
        <v>123</v>
      </c>
      <c r="R9" s="17" t="s">
        <v>35</v>
      </c>
      <c r="S9" s="17"/>
      <c r="T9" s="17" t="s">
        <v>124</v>
      </c>
      <c r="U9" s="17">
        <v>21.5</v>
      </c>
      <c r="V9" s="17" t="s">
        <v>37</v>
      </c>
      <c r="W9" s="17" t="s">
        <v>125</v>
      </c>
      <c r="X9" s="17" t="s">
        <v>97</v>
      </c>
      <c r="Y9" s="17" t="s">
        <v>40</v>
      </c>
      <c r="Z9" s="17">
        <v>13.17</v>
      </c>
      <c r="AA9" s="17">
        <v>6.51</v>
      </c>
      <c r="AB9" s="17">
        <v>26.65</v>
      </c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</row>
    <row r="10" ht="13.85" spans="1:56">
      <c r="A10" s="17">
        <v>934</v>
      </c>
      <c r="B10" s="17">
        <v>2</v>
      </c>
      <c r="C10" s="17"/>
      <c r="D10" s="17">
        <v>2024</v>
      </c>
      <c r="E10" s="17"/>
      <c r="F10" s="17" t="s">
        <v>76</v>
      </c>
      <c r="G10" s="17" t="s">
        <v>88</v>
      </c>
      <c r="H10" s="17" t="s">
        <v>88</v>
      </c>
      <c r="I10" s="17" t="s">
        <v>30</v>
      </c>
      <c r="J10" s="17" t="s">
        <v>122</v>
      </c>
      <c r="K10" s="17" t="s">
        <v>32</v>
      </c>
      <c r="L10" s="17"/>
      <c r="M10" s="17">
        <v>0.5633</v>
      </c>
      <c r="N10" s="17" t="s">
        <v>42</v>
      </c>
      <c r="O10" s="17"/>
      <c r="P10" s="17"/>
      <c r="Q10" s="17" t="s">
        <v>123</v>
      </c>
      <c r="R10" s="17" t="s">
        <v>35</v>
      </c>
      <c r="S10" s="17"/>
      <c r="T10" s="17" t="s">
        <v>124</v>
      </c>
      <c r="U10" s="17">
        <v>21.5</v>
      </c>
      <c r="V10" s="17" t="s">
        <v>37</v>
      </c>
      <c r="W10" s="17" t="s">
        <v>125</v>
      </c>
      <c r="X10" s="17" t="s">
        <v>97</v>
      </c>
      <c r="Y10" s="17" t="s">
        <v>40</v>
      </c>
      <c r="Z10" s="17">
        <v>4.09</v>
      </c>
      <c r="AA10" s="17">
        <v>2.09</v>
      </c>
      <c r="AB10" s="17">
        <v>7.99</v>
      </c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</row>
    <row r="11" ht="13.85" spans="1:56">
      <c r="A11" s="17">
        <v>8</v>
      </c>
      <c r="B11" s="17">
        <v>1</v>
      </c>
      <c r="C11" s="17"/>
      <c r="D11" s="17">
        <v>2024</v>
      </c>
      <c r="E11" s="17"/>
      <c r="F11" s="17" t="s">
        <v>87</v>
      </c>
      <c r="G11" s="17" t="s">
        <v>118</v>
      </c>
      <c r="H11" s="17" t="s">
        <v>118</v>
      </c>
      <c r="I11" s="17" t="s">
        <v>60</v>
      </c>
      <c r="J11" s="17" t="s">
        <v>119</v>
      </c>
      <c r="K11" s="17" t="s">
        <v>61</v>
      </c>
      <c r="L11" s="17"/>
      <c r="M11" s="17"/>
      <c r="N11" s="17" t="s">
        <v>90</v>
      </c>
      <c r="O11" s="17"/>
      <c r="P11" s="17"/>
      <c r="Q11" s="17" t="s">
        <v>126</v>
      </c>
      <c r="R11" s="17" t="s">
        <v>35</v>
      </c>
      <c r="S11" s="17"/>
      <c r="T11" s="17" t="s">
        <v>127</v>
      </c>
      <c r="U11" s="17">
        <v>5</v>
      </c>
      <c r="V11" s="17" t="s">
        <v>37</v>
      </c>
      <c r="W11" s="17" t="s">
        <v>128</v>
      </c>
      <c r="X11" s="17" t="s">
        <v>97</v>
      </c>
      <c r="Y11" s="17" t="s">
        <v>40</v>
      </c>
      <c r="Z11" s="17">
        <v>1.228</v>
      </c>
      <c r="AA11" s="17">
        <v>1.156</v>
      </c>
      <c r="AB11" s="17">
        <v>1.304</v>
      </c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</row>
    <row r="12" ht="13.85" spans="1:56">
      <c r="A12" s="17">
        <v>8</v>
      </c>
      <c r="B12" s="17">
        <v>2</v>
      </c>
      <c r="C12" s="17"/>
      <c r="D12" s="17">
        <v>2024</v>
      </c>
      <c r="E12" s="17"/>
      <c r="F12" s="17" t="s">
        <v>129</v>
      </c>
      <c r="G12" s="17" t="s">
        <v>118</v>
      </c>
      <c r="H12" s="17" t="s">
        <v>118</v>
      </c>
      <c r="I12" s="17" t="s">
        <v>60</v>
      </c>
      <c r="J12" s="17" t="s">
        <v>119</v>
      </c>
      <c r="K12" s="17" t="s">
        <v>61</v>
      </c>
      <c r="L12" s="17"/>
      <c r="M12" s="17"/>
      <c r="N12" s="17" t="s">
        <v>90</v>
      </c>
      <c r="O12" s="17"/>
      <c r="P12" s="17"/>
      <c r="Q12" s="17" t="s">
        <v>126</v>
      </c>
      <c r="R12" s="17" t="s">
        <v>35</v>
      </c>
      <c r="S12" s="17"/>
      <c r="T12" s="17" t="s">
        <v>127</v>
      </c>
      <c r="U12" s="17">
        <v>5</v>
      </c>
      <c r="V12" s="17" t="s">
        <v>37</v>
      </c>
      <c r="W12" s="17"/>
      <c r="X12" s="17" t="s">
        <v>97</v>
      </c>
      <c r="Y12" s="17" t="s">
        <v>40</v>
      </c>
      <c r="Z12" s="17">
        <v>1.306</v>
      </c>
      <c r="AA12" s="17">
        <v>1.24</v>
      </c>
      <c r="AB12" s="17">
        <v>1.375</v>
      </c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</row>
    <row r="13" ht="13.85" spans="1:56">
      <c r="A13" s="17">
        <v>8</v>
      </c>
      <c r="B13" s="17">
        <v>3</v>
      </c>
      <c r="C13" s="17"/>
      <c r="D13" s="17">
        <v>2024</v>
      </c>
      <c r="E13" s="17"/>
      <c r="F13" s="17" t="s">
        <v>130</v>
      </c>
      <c r="G13" s="17" t="s">
        <v>118</v>
      </c>
      <c r="H13" s="17" t="s">
        <v>118</v>
      </c>
      <c r="I13" s="17" t="s">
        <v>60</v>
      </c>
      <c r="J13" s="17" t="s">
        <v>119</v>
      </c>
      <c r="K13" s="17" t="s">
        <v>61</v>
      </c>
      <c r="L13" s="17"/>
      <c r="M13" s="17"/>
      <c r="N13" s="17" t="s">
        <v>90</v>
      </c>
      <c r="O13" s="17"/>
      <c r="P13" s="17"/>
      <c r="Q13" s="17" t="s">
        <v>126</v>
      </c>
      <c r="R13" s="17" t="s">
        <v>35</v>
      </c>
      <c r="S13" s="17"/>
      <c r="T13" s="17" t="s">
        <v>127</v>
      </c>
      <c r="U13" s="17">
        <v>5</v>
      </c>
      <c r="V13" s="17" t="s">
        <v>37</v>
      </c>
      <c r="W13" s="17"/>
      <c r="X13" s="17" t="s">
        <v>97</v>
      </c>
      <c r="Y13" s="17" t="s">
        <v>40</v>
      </c>
      <c r="Z13" s="17">
        <v>1.293</v>
      </c>
      <c r="AA13" s="17">
        <v>1.205</v>
      </c>
      <c r="AB13" s="17">
        <v>1.388</v>
      </c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</row>
    <row r="14" ht="13.85" spans="1:56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</row>
  </sheetData>
  <autoFilter xmlns:etc="http://www.wps.cn/officeDocument/2017/etCustomData" ref="A1:AB13" etc:filterBottomFollowUsedRange="0">
    <extLst/>
  </autoFilter>
  <hyperlinks>
    <hyperlink ref="E5" r:id="rId3" display="Kyoung-Nam Kim" tooltip="https://pubmed.ncbi.nlm.nih.gov/?term=Kim+KN&amp;cauthor_id=35660607"/>
    <hyperlink ref="E6" r:id="rId4" display="Kyoung-Nam Kim" tooltip="https://pubmed.ncbi.nlm.nih.gov/?term=Kim+KN&amp;cauthor_id=36528107"/>
  </hyperlink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24"/>
  <sheetViews>
    <sheetView workbookViewId="0">
      <pane xSplit="1" topLeftCell="B1" activePane="topRight" state="frozen"/>
      <selection/>
      <selection pane="topRight" activeCell="L23" sqref="L23"/>
    </sheetView>
  </sheetViews>
  <sheetFormatPr defaultColWidth="9.02654867256637" defaultRowHeight="13.5"/>
  <cols>
    <col min="1" max="6" width="9.02654867256637" style="21"/>
    <col min="7" max="7" width="20.1858407079646" style="21" customWidth="1"/>
    <col min="8" max="16" width="9.02654867256637" style="21"/>
    <col min="17" max="17" width="65.5752212389381" style="21" customWidth="1"/>
    <col min="18" max="22" width="9.02654867256637" style="21"/>
    <col min="23" max="23" width="71.353982300885" style="21" customWidth="1"/>
    <col min="24" max="34" width="9.02654867256637" style="21"/>
  </cols>
  <sheetData>
    <row r="1" ht="13.9" spans="1:81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22" t="s">
        <v>131</v>
      </c>
      <c r="I1" s="17" t="s">
        <v>7</v>
      </c>
      <c r="J1" s="16" t="s">
        <v>8</v>
      </c>
      <c r="K1" s="17" t="s">
        <v>9</v>
      </c>
      <c r="L1" s="16" t="s">
        <v>10</v>
      </c>
      <c r="M1" s="18" t="s">
        <v>11</v>
      </c>
      <c r="N1" s="14" t="s">
        <v>94</v>
      </c>
      <c r="O1" s="16" t="s">
        <v>13</v>
      </c>
      <c r="P1" s="14" t="s">
        <v>14</v>
      </c>
      <c r="Q1" s="14" t="s">
        <v>15</v>
      </c>
      <c r="R1" s="14" t="s">
        <v>16</v>
      </c>
      <c r="S1" s="16" t="s">
        <v>17</v>
      </c>
      <c r="T1" s="14" t="s">
        <v>18</v>
      </c>
      <c r="U1" s="33" t="s">
        <v>19</v>
      </c>
      <c r="V1" s="14" t="s">
        <v>20</v>
      </c>
      <c r="W1" s="14" t="s">
        <v>21</v>
      </c>
      <c r="X1" s="14"/>
      <c r="Y1" s="16" t="s">
        <v>22</v>
      </c>
      <c r="Z1" s="15" t="s">
        <v>23</v>
      </c>
      <c r="AA1" s="14" t="s">
        <v>24</v>
      </c>
      <c r="AB1" s="14" t="s">
        <v>25</v>
      </c>
      <c r="AC1" s="14" t="s">
        <v>132</v>
      </c>
      <c r="AD1" s="14"/>
      <c r="AE1" s="14" t="s">
        <v>21</v>
      </c>
      <c r="AF1" s="14"/>
      <c r="AG1" s="14"/>
      <c r="AH1" s="17" t="s">
        <v>133</v>
      </c>
    </row>
    <row r="2" ht="13.85" spans="1:81">
      <c r="A2" s="17">
        <v>8</v>
      </c>
      <c r="B2" s="17">
        <v>1</v>
      </c>
      <c r="C2" s="17"/>
      <c r="D2" s="17">
        <v>2024</v>
      </c>
      <c r="E2" s="17"/>
      <c r="F2" s="17" t="s">
        <v>87</v>
      </c>
      <c r="G2" s="17" t="s">
        <v>118</v>
      </c>
      <c r="H2" s="17" t="s">
        <v>118</v>
      </c>
      <c r="I2" s="17" t="s">
        <v>60</v>
      </c>
      <c r="J2" s="17" t="s">
        <v>119</v>
      </c>
      <c r="K2" s="17" t="s">
        <v>61</v>
      </c>
      <c r="L2" s="17"/>
      <c r="M2" s="17"/>
      <c r="N2" s="17" t="s">
        <v>90</v>
      </c>
      <c r="O2" s="17"/>
      <c r="P2" s="17"/>
      <c r="Q2" s="17" t="s">
        <v>126</v>
      </c>
      <c r="R2" s="17" t="s">
        <v>35</v>
      </c>
      <c r="S2" s="17"/>
      <c r="T2" s="17" t="s">
        <v>36</v>
      </c>
      <c r="U2" s="17">
        <v>10.5</v>
      </c>
      <c r="V2" s="17" t="s">
        <v>37</v>
      </c>
      <c r="W2" s="17" t="s">
        <v>134</v>
      </c>
      <c r="X2" s="17" t="s">
        <v>135</v>
      </c>
      <c r="Y2" s="17" t="s">
        <v>40</v>
      </c>
      <c r="Z2" s="17">
        <v>1.286</v>
      </c>
      <c r="AA2" s="17">
        <v>0.997</v>
      </c>
      <c r="AB2" s="17">
        <v>1.658</v>
      </c>
      <c r="AC2" s="17"/>
      <c r="AD2" s="17"/>
      <c r="AE2" s="17"/>
      <c r="AF2" s="17"/>
      <c r="AG2" s="17"/>
      <c r="AH2" s="17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</row>
    <row r="3" ht="13.85" spans="1:81">
      <c r="A3" s="17">
        <v>8</v>
      </c>
      <c r="B3" s="17">
        <v>2</v>
      </c>
      <c r="C3" s="17"/>
      <c r="D3" s="17">
        <v>2024</v>
      </c>
      <c r="E3" s="17"/>
      <c r="F3" s="17" t="s">
        <v>129</v>
      </c>
      <c r="G3" s="17" t="s">
        <v>118</v>
      </c>
      <c r="H3" s="17" t="s">
        <v>118</v>
      </c>
      <c r="I3" s="17" t="s">
        <v>60</v>
      </c>
      <c r="J3" s="17" t="s">
        <v>119</v>
      </c>
      <c r="K3" s="17" t="s">
        <v>61</v>
      </c>
      <c r="L3" s="17"/>
      <c r="M3" s="17"/>
      <c r="N3" s="17" t="s">
        <v>90</v>
      </c>
      <c r="O3" s="17"/>
      <c r="P3" s="17"/>
      <c r="Q3" s="17" t="s">
        <v>126</v>
      </c>
      <c r="R3" s="17" t="s">
        <v>35</v>
      </c>
      <c r="S3" s="17"/>
      <c r="T3" s="17" t="s">
        <v>36</v>
      </c>
      <c r="U3" s="17">
        <v>10.5</v>
      </c>
      <c r="V3" s="17" t="s">
        <v>37</v>
      </c>
      <c r="W3" s="17" t="s">
        <v>134</v>
      </c>
      <c r="X3" s="17" t="s">
        <v>135</v>
      </c>
      <c r="Y3" s="17" t="s">
        <v>40</v>
      </c>
      <c r="Z3" s="17">
        <v>1.408</v>
      </c>
      <c r="AA3" s="17">
        <v>1.276</v>
      </c>
      <c r="AB3" s="17">
        <v>1.553</v>
      </c>
      <c r="AC3" s="17"/>
      <c r="AD3" s="17"/>
      <c r="AE3" s="17"/>
      <c r="AF3" s="17"/>
      <c r="AG3" s="17"/>
      <c r="AH3" s="17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</row>
    <row r="4" ht="13.85" spans="1:81">
      <c r="A4" s="17">
        <v>8</v>
      </c>
      <c r="B4" s="17">
        <v>3</v>
      </c>
      <c r="C4" s="17"/>
      <c r="D4" s="17">
        <v>2024</v>
      </c>
      <c r="E4" s="17"/>
      <c r="F4" s="17" t="s">
        <v>130</v>
      </c>
      <c r="G4" s="17" t="s">
        <v>118</v>
      </c>
      <c r="H4" s="17" t="s">
        <v>118</v>
      </c>
      <c r="I4" s="17" t="s">
        <v>60</v>
      </c>
      <c r="J4" s="17" t="s">
        <v>119</v>
      </c>
      <c r="K4" s="17" t="s">
        <v>61</v>
      </c>
      <c r="L4" s="17"/>
      <c r="M4" s="17"/>
      <c r="N4" s="17" t="s">
        <v>90</v>
      </c>
      <c r="O4" s="17"/>
      <c r="P4" s="17"/>
      <c r="Q4" s="17" t="s">
        <v>126</v>
      </c>
      <c r="R4" s="17" t="s">
        <v>35</v>
      </c>
      <c r="S4" s="17"/>
      <c r="T4" s="17" t="s">
        <v>36</v>
      </c>
      <c r="U4" s="17">
        <v>10.5</v>
      </c>
      <c r="V4" s="17" t="s">
        <v>37</v>
      </c>
      <c r="W4" s="17" t="s">
        <v>134</v>
      </c>
      <c r="X4" s="17" t="s">
        <v>135</v>
      </c>
      <c r="Y4" s="17" t="s">
        <v>40</v>
      </c>
      <c r="Z4" s="17">
        <v>1.441</v>
      </c>
      <c r="AA4" s="17">
        <v>1.315</v>
      </c>
      <c r="AB4" s="17">
        <v>1.58</v>
      </c>
      <c r="AC4" s="17"/>
      <c r="AD4" s="17"/>
      <c r="AE4" s="17"/>
      <c r="AF4" s="17"/>
      <c r="AG4" s="17"/>
      <c r="AH4" s="17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</row>
    <row r="5" ht="13.85" spans="1:81">
      <c r="A5" s="17">
        <v>136</v>
      </c>
      <c r="B5" s="17">
        <v>1</v>
      </c>
      <c r="C5" s="17"/>
      <c r="D5" s="17">
        <v>2019</v>
      </c>
      <c r="E5" s="17"/>
      <c r="F5" s="17" t="s">
        <v>87</v>
      </c>
      <c r="G5" s="17" t="s">
        <v>88</v>
      </c>
      <c r="H5" s="17" t="s">
        <v>88</v>
      </c>
      <c r="I5" s="17" t="s">
        <v>30</v>
      </c>
      <c r="J5" s="17" t="s">
        <v>122</v>
      </c>
      <c r="K5" s="17" t="s">
        <v>32</v>
      </c>
      <c r="L5" s="17"/>
      <c r="M5" s="17"/>
      <c r="N5" s="17" t="s">
        <v>90</v>
      </c>
      <c r="O5" s="17"/>
      <c r="P5" s="17"/>
      <c r="Q5" s="17"/>
      <c r="R5" s="17" t="s">
        <v>35</v>
      </c>
      <c r="S5" s="17"/>
      <c r="T5" s="17" t="s">
        <v>93</v>
      </c>
      <c r="U5" s="17">
        <v>13.5</v>
      </c>
      <c r="V5" s="17" t="s">
        <v>37</v>
      </c>
      <c r="W5" s="17" t="s">
        <v>136</v>
      </c>
      <c r="X5" s="17" t="s">
        <v>135</v>
      </c>
      <c r="Y5" s="17" t="s">
        <v>40</v>
      </c>
      <c r="Z5" s="17">
        <v>1.46</v>
      </c>
      <c r="AA5" s="17">
        <v>1.33</v>
      </c>
      <c r="AB5" s="17">
        <v>1.59</v>
      </c>
      <c r="AC5" s="17"/>
      <c r="AD5" s="17"/>
      <c r="AE5" s="17"/>
      <c r="AF5" s="17"/>
      <c r="AG5" s="17"/>
      <c r="AH5" s="17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</row>
    <row r="6" ht="13.85" spans="1:81">
      <c r="A6" s="17">
        <v>136</v>
      </c>
      <c r="B6" s="17">
        <v>2</v>
      </c>
      <c r="C6" s="17"/>
      <c r="D6" s="17">
        <v>2019</v>
      </c>
      <c r="E6" s="17"/>
      <c r="F6" s="17" t="s">
        <v>76</v>
      </c>
      <c r="G6" s="17" t="s">
        <v>88</v>
      </c>
      <c r="H6" s="17" t="s">
        <v>88</v>
      </c>
      <c r="I6" s="17" t="s">
        <v>30</v>
      </c>
      <c r="J6" s="17" t="s">
        <v>122</v>
      </c>
      <c r="K6" s="17" t="s">
        <v>32</v>
      </c>
      <c r="L6" s="17"/>
      <c r="M6" s="17"/>
      <c r="N6" s="17" t="s">
        <v>90</v>
      </c>
      <c r="O6" s="17"/>
      <c r="P6" s="17"/>
      <c r="Q6" s="17"/>
      <c r="R6" s="17" t="s">
        <v>35</v>
      </c>
      <c r="S6" s="17"/>
      <c r="T6" s="17" t="s">
        <v>93</v>
      </c>
      <c r="U6" s="17">
        <v>13.5</v>
      </c>
      <c r="V6" s="17" t="s">
        <v>37</v>
      </c>
      <c r="W6" s="17" t="s">
        <v>136</v>
      </c>
      <c r="X6" s="17" t="s">
        <v>135</v>
      </c>
      <c r="Y6" s="17" t="s">
        <v>40</v>
      </c>
      <c r="Z6" s="17">
        <v>1.62</v>
      </c>
      <c r="AA6" s="17">
        <v>1.42</v>
      </c>
      <c r="AB6" s="17">
        <v>1.81</v>
      </c>
      <c r="AC6" s="17"/>
      <c r="AD6" s="17"/>
      <c r="AE6" s="17"/>
      <c r="AF6" s="17"/>
      <c r="AG6" s="17"/>
      <c r="AH6" s="17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</row>
    <row r="7" ht="13.85" spans="1:81">
      <c r="A7" s="17">
        <v>155</v>
      </c>
      <c r="B7" s="17">
        <v>1</v>
      </c>
      <c r="C7" s="17" t="s">
        <v>26</v>
      </c>
      <c r="D7" s="17">
        <v>2024</v>
      </c>
      <c r="E7" s="17" t="s">
        <v>27</v>
      </c>
      <c r="F7" s="17" t="s">
        <v>28</v>
      </c>
      <c r="G7" s="17" t="s">
        <v>29</v>
      </c>
      <c r="H7" s="17" t="s">
        <v>29</v>
      </c>
      <c r="I7" s="17" t="s">
        <v>30</v>
      </c>
      <c r="J7" s="17" t="s">
        <v>31</v>
      </c>
      <c r="K7" s="17" t="s">
        <v>32</v>
      </c>
      <c r="L7" s="17" t="s">
        <v>137</v>
      </c>
      <c r="M7" s="17">
        <v>0.438</v>
      </c>
      <c r="N7" s="17" t="s">
        <v>33</v>
      </c>
      <c r="O7" s="17"/>
      <c r="P7" s="17" t="s">
        <v>138</v>
      </c>
      <c r="Q7" s="17" t="s">
        <v>34</v>
      </c>
      <c r="R7" s="17" t="s">
        <v>35</v>
      </c>
      <c r="S7" s="17"/>
      <c r="T7" s="17" t="s">
        <v>36</v>
      </c>
      <c r="U7" s="17">
        <v>10.5</v>
      </c>
      <c r="V7" s="17" t="s">
        <v>37</v>
      </c>
      <c r="W7" s="17" t="s">
        <v>139</v>
      </c>
      <c r="X7" s="17" t="s">
        <v>135</v>
      </c>
      <c r="Y7" s="17" t="s">
        <v>40</v>
      </c>
      <c r="Z7" s="17">
        <v>1.3</v>
      </c>
      <c r="AA7" s="17">
        <v>1.13</v>
      </c>
      <c r="AB7" s="17">
        <v>1.5</v>
      </c>
      <c r="AC7" s="17"/>
      <c r="AD7" s="17"/>
      <c r="AE7" s="17"/>
      <c r="AF7" s="17"/>
      <c r="AG7" s="17"/>
      <c r="AH7" s="17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</row>
    <row r="8" ht="13.85" spans="1:81">
      <c r="A8" s="17">
        <v>529</v>
      </c>
      <c r="B8" s="17">
        <v>1</v>
      </c>
      <c r="C8" s="17" t="s">
        <v>140</v>
      </c>
      <c r="D8" s="17">
        <v>2012</v>
      </c>
      <c r="E8" s="17" t="s">
        <v>141</v>
      </c>
      <c r="F8" s="17" t="s">
        <v>28</v>
      </c>
      <c r="G8" s="17" t="s">
        <v>142</v>
      </c>
      <c r="H8" s="17" t="s">
        <v>142</v>
      </c>
      <c r="I8" s="17" t="s">
        <v>30</v>
      </c>
      <c r="J8" s="17" t="s">
        <v>48</v>
      </c>
      <c r="K8" s="17" t="s">
        <v>32</v>
      </c>
      <c r="L8" s="17"/>
      <c r="M8" s="17"/>
      <c r="N8" s="17"/>
      <c r="O8" s="17"/>
      <c r="P8" s="17" t="s">
        <v>143</v>
      </c>
      <c r="Q8" s="17" t="s">
        <v>144</v>
      </c>
      <c r="R8" s="17" t="s">
        <v>35</v>
      </c>
      <c r="S8" s="17"/>
      <c r="T8" s="17"/>
      <c r="U8" s="17"/>
      <c r="V8" s="17" t="s">
        <v>64</v>
      </c>
      <c r="W8" s="17" t="s">
        <v>135</v>
      </c>
      <c r="X8" s="17" t="s">
        <v>135</v>
      </c>
      <c r="Y8" s="17" t="s">
        <v>40</v>
      </c>
      <c r="Z8" s="17">
        <v>1.14</v>
      </c>
      <c r="AA8" s="17">
        <v>1.08</v>
      </c>
      <c r="AB8" s="17">
        <v>1.21</v>
      </c>
      <c r="AC8" s="17"/>
      <c r="AD8" s="17"/>
      <c r="AE8" s="17"/>
      <c r="AF8" s="17"/>
      <c r="AG8" s="17"/>
      <c r="AH8" s="17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</row>
    <row r="9" ht="13.85" spans="1:81">
      <c r="A9" s="17">
        <v>576</v>
      </c>
      <c r="B9" s="17">
        <v>1</v>
      </c>
      <c r="C9" s="17"/>
      <c r="D9" s="17">
        <v>2021</v>
      </c>
      <c r="E9" s="17"/>
      <c r="F9" s="17" t="s">
        <v>28</v>
      </c>
      <c r="G9" s="17" t="s">
        <v>47</v>
      </c>
      <c r="H9" s="17" t="s">
        <v>47</v>
      </c>
      <c r="I9" s="17" t="s">
        <v>30</v>
      </c>
      <c r="J9" s="17" t="s">
        <v>48</v>
      </c>
      <c r="K9" s="17" t="s">
        <v>32</v>
      </c>
      <c r="L9" s="17"/>
      <c r="M9" s="17">
        <v>0.62</v>
      </c>
      <c r="N9" s="17" t="s">
        <v>33</v>
      </c>
      <c r="O9" s="17"/>
      <c r="P9" s="17"/>
      <c r="Q9" s="17"/>
      <c r="R9" s="17" t="s">
        <v>49</v>
      </c>
      <c r="S9" s="17"/>
      <c r="T9" s="17" t="s">
        <v>50</v>
      </c>
      <c r="U9" s="17">
        <v>7</v>
      </c>
      <c r="V9" s="17" t="s">
        <v>37</v>
      </c>
      <c r="W9" s="17" t="s">
        <v>145</v>
      </c>
      <c r="X9" s="17" t="s">
        <v>135</v>
      </c>
      <c r="Y9" s="17" t="s">
        <v>40</v>
      </c>
      <c r="Z9" s="17">
        <v>1.4</v>
      </c>
      <c r="AA9" s="17">
        <v>1.01</v>
      </c>
      <c r="AB9" s="17">
        <v>1.96</v>
      </c>
      <c r="AC9" s="17"/>
      <c r="AD9" s="17"/>
      <c r="AE9" s="17"/>
      <c r="AF9" s="17"/>
      <c r="AG9" s="17"/>
      <c r="AH9" s="17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</row>
    <row r="10" ht="13.85" spans="1:81">
      <c r="A10" s="17">
        <v>760</v>
      </c>
      <c r="B10" s="17">
        <v>1</v>
      </c>
      <c r="C10" s="17"/>
      <c r="D10" s="17">
        <v>2016</v>
      </c>
      <c r="E10" s="17"/>
      <c r="F10" s="17" t="s">
        <v>146</v>
      </c>
      <c r="G10" s="17" t="s">
        <v>147</v>
      </c>
      <c r="H10" s="17" t="s">
        <v>148</v>
      </c>
      <c r="I10" s="17" t="s">
        <v>60</v>
      </c>
      <c r="J10" s="17" t="s">
        <v>149</v>
      </c>
      <c r="K10" s="17" t="s">
        <v>61</v>
      </c>
      <c r="L10" s="17"/>
      <c r="M10" s="17">
        <v>1</v>
      </c>
      <c r="N10" s="17" t="s">
        <v>42</v>
      </c>
      <c r="O10" s="17"/>
      <c r="P10" s="17"/>
      <c r="Q10" s="17" t="s">
        <v>150</v>
      </c>
      <c r="R10" s="17" t="s">
        <v>35</v>
      </c>
      <c r="S10" s="17"/>
      <c r="T10" s="17" t="s">
        <v>100</v>
      </c>
      <c r="U10" s="17">
        <v>3</v>
      </c>
      <c r="V10" s="17" t="s">
        <v>37</v>
      </c>
      <c r="W10" s="17" t="s">
        <v>151</v>
      </c>
      <c r="X10" s="17" t="s">
        <v>135</v>
      </c>
      <c r="Y10" s="17" t="s">
        <v>40</v>
      </c>
      <c r="Z10" s="17">
        <v>2.44</v>
      </c>
      <c r="AA10" s="17">
        <v>1.43</v>
      </c>
      <c r="AB10" s="17">
        <v>4.15</v>
      </c>
      <c r="AC10" s="17"/>
      <c r="AD10" s="17"/>
      <c r="AE10" s="17"/>
      <c r="AF10" s="17"/>
      <c r="AG10" s="17"/>
      <c r="AH10" s="17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</row>
    <row r="11" ht="13.85" spans="1:81">
      <c r="A11" s="17">
        <v>902</v>
      </c>
      <c r="B11" s="17">
        <v>1</v>
      </c>
      <c r="C11" s="17" t="s">
        <v>152</v>
      </c>
      <c r="D11" s="17">
        <v>2016</v>
      </c>
      <c r="E11" s="17" t="s">
        <v>153</v>
      </c>
      <c r="F11" s="17" t="s">
        <v>87</v>
      </c>
      <c r="G11" s="17" t="s">
        <v>88</v>
      </c>
      <c r="H11" s="17" t="s">
        <v>88</v>
      </c>
      <c r="I11" s="17" t="s">
        <v>30</v>
      </c>
      <c r="J11" s="17" t="s">
        <v>122</v>
      </c>
      <c r="K11" s="17" t="s">
        <v>32</v>
      </c>
      <c r="L11" s="17" t="s">
        <v>154</v>
      </c>
      <c r="M11" s="17" t="s">
        <v>69</v>
      </c>
      <c r="N11" s="17" t="s">
        <v>33</v>
      </c>
      <c r="O11" s="17"/>
      <c r="P11" s="17" t="s">
        <v>155</v>
      </c>
      <c r="Q11" s="17" t="s">
        <v>156</v>
      </c>
      <c r="R11" s="17" t="s">
        <v>35</v>
      </c>
      <c r="S11" s="17"/>
      <c r="T11" s="17" t="s">
        <v>93</v>
      </c>
      <c r="U11" s="17">
        <v>13.5</v>
      </c>
      <c r="V11" s="17" t="s">
        <v>37</v>
      </c>
      <c r="W11" s="17" t="s">
        <v>157</v>
      </c>
      <c r="X11" s="17" t="s">
        <v>135</v>
      </c>
      <c r="Y11" s="17" t="s">
        <v>40</v>
      </c>
      <c r="Z11" s="17">
        <v>1.104</v>
      </c>
      <c r="AA11" s="17">
        <v>1.014</v>
      </c>
      <c r="AB11" s="17">
        <v>1.203</v>
      </c>
      <c r="AC11" s="17"/>
      <c r="AD11" s="17"/>
      <c r="AE11" s="17"/>
      <c r="AF11" s="17"/>
      <c r="AG11" s="17"/>
      <c r="AH11" s="17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</row>
    <row r="12" ht="13.85" spans="1:81">
      <c r="A12" s="17">
        <v>902</v>
      </c>
      <c r="B12" s="17">
        <v>2</v>
      </c>
      <c r="C12" s="17"/>
      <c r="D12" s="17">
        <v>2016</v>
      </c>
      <c r="E12" s="17"/>
      <c r="F12" s="17" t="s">
        <v>129</v>
      </c>
      <c r="G12" s="17" t="s">
        <v>88</v>
      </c>
      <c r="H12" s="17" t="s">
        <v>88</v>
      </c>
      <c r="I12" s="17" t="s">
        <v>30</v>
      </c>
      <c r="J12" s="17" t="s">
        <v>122</v>
      </c>
      <c r="K12" s="17" t="s">
        <v>32</v>
      </c>
      <c r="L12" s="17"/>
      <c r="M12" s="17"/>
      <c r="N12" s="17" t="s">
        <v>33</v>
      </c>
      <c r="O12" s="17"/>
      <c r="P12" s="17"/>
      <c r="Q12" s="17" t="s">
        <v>156</v>
      </c>
      <c r="R12" s="17" t="s">
        <v>35</v>
      </c>
      <c r="S12" s="17"/>
      <c r="T12" s="17" t="s">
        <v>93</v>
      </c>
      <c r="U12" s="17">
        <v>13.5</v>
      </c>
      <c r="V12" s="17" t="s">
        <v>37</v>
      </c>
      <c r="W12" s="17" t="s">
        <v>157</v>
      </c>
      <c r="X12" s="17" t="s">
        <v>135</v>
      </c>
      <c r="Y12" s="17" t="s">
        <v>40</v>
      </c>
      <c r="Z12" s="17">
        <v>1.096</v>
      </c>
      <c r="AA12" s="17">
        <v>1.005</v>
      </c>
      <c r="AB12" s="17">
        <v>1.194</v>
      </c>
      <c r="AC12" s="17"/>
      <c r="AD12" s="17"/>
      <c r="AE12" s="17"/>
      <c r="AF12" s="17"/>
      <c r="AG12" s="17"/>
      <c r="AH12" s="17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</row>
    <row r="13" ht="13.85" spans="1:81">
      <c r="A13" s="17">
        <v>902</v>
      </c>
      <c r="B13" s="17">
        <v>3</v>
      </c>
      <c r="C13" s="17"/>
      <c r="D13" s="17">
        <v>2016</v>
      </c>
      <c r="E13" s="17"/>
      <c r="F13" s="17" t="s">
        <v>130</v>
      </c>
      <c r="G13" s="17" t="s">
        <v>88</v>
      </c>
      <c r="H13" s="17" t="s">
        <v>88</v>
      </c>
      <c r="I13" s="17" t="s">
        <v>30</v>
      </c>
      <c r="J13" s="17" t="s">
        <v>122</v>
      </c>
      <c r="K13" s="17" t="s">
        <v>32</v>
      </c>
      <c r="L13" s="17"/>
      <c r="M13" s="17"/>
      <c r="N13" s="17" t="s">
        <v>33</v>
      </c>
      <c r="O13" s="17"/>
      <c r="P13" s="17"/>
      <c r="Q13" s="17" t="s">
        <v>156</v>
      </c>
      <c r="R13" s="17" t="s">
        <v>35</v>
      </c>
      <c r="S13" s="17"/>
      <c r="T13" s="17" t="s">
        <v>93</v>
      </c>
      <c r="U13" s="17">
        <v>13.5</v>
      </c>
      <c r="V13" s="17" t="s">
        <v>37</v>
      </c>
      <c r="W13" s="17" t="s">
        <v>157</v>
      </c>
      <c r="X13" s="17" t="s">
        <v>135</v>
      </c>
      <c r="Y13" s="17" t="s">
        <v>40</v>
      </c>
      <c r="Z13" s="17">
        <v>1.33</v>
      </c>
      <c r="AA13" s="17">
        <v>1.202</v>
      </c>
      <c r="AB13" s="17">
        <v>1.472</v>
      </c>
      <c r="AC13" s="17"/>
      <c r="AD13" s="17"/>
      <c r="AE13" s="17"/>
      <c r="AF13" s="17"/>
      <c r="AG13" s="17"/>
      <c r="AH13" s="17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</row>
    <row r="14" ht="13.85" spans="1:81">
      <c r="A14" s="17">
        <v>940</v>
      </c>
      <c r="B14" s="17">
        <v>1</v>
      </c>
      <c r="C14" s="17" t="s">
        <v>158</v>
      </c>
      <c r="D14" s="17">
        <v>2013</v>
      </c>
      <c r="E14" s="17" t="s">
        <v>159</v>
      </c>
      <c r="F14" s="17" t="s">
        <v>87</v>
      </c>
      <c r="G14" s="17" t="s">
        <v>160</v>
      </c>
      <c r="H14" s="17" t="s">
        <v>160</v>
      </c>
      <c r="I14" s="17" t="s">
        <v>30</v>
      </c>
      <c r="J14" s="17" t="s">
        <v>48</v>
      </c>
      <c r="K14" s="17" t="s">
        <v>32</v>
      </c>
      <c r="L14" s="17">
        <v>207920</v>
      </c>
      <c r="M14" s="17" t="s">
        <v>69</v>
      </c>
      <c r="N14" s="17" t="s">
        <v>161</v>
      </c>
      <c r="O14" s="17"/>
      <c r="P14" s="17" t="s">
        <v>162</v>
      </c>
      <c r="Q14" s="17" t="s">
        <v>163</v>
      </c>
      <c r="R14" s="17" t="s">
        <v>35</v>
      </c>
      <c r="S14" s="17"/>
      <c r="T14" s="17" t="s">
        <v>93</v>
      </c>
      <c r="U14" s="17">
        <v>13.5</v>
      </c>
      <c r="V14" s="17" t="s">
        <v>37</v>
      </c>
      <c r="W14" s="17" t="s">
        <v>164</v>
      </c>
      <c r="X14" s="17" t="s">
        <v>135</v>
      </c>
      <c r="Y14" s="17" t="s">
        <v>40</v>
      </c>
      <c r="Z14" s="17">
        <v>1.85</v>
      </c>
      <c r="AA14" s="17">
        <v>0.97</v>
      </c>
      <c r="AB14" s="17">
        <v>3.51</v>
      </c>
      <c r="AC14" s="17"/>
      <c r="AD14" s="17"/>
      <c r="AE14" s="17"/>
      <c r="AF14" s="17"/>
      <c r="AG14" s="17"/>
      <c r="AH14" s="17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</row>
    <row r="15" ht="13.85" spans="1:81">
      <c r="A15" s="17">
        <v>940</v>
      </c>
      <c r="B15" s="17">
        <v>2</v>
      </c>
      <c r="C15" s="17"/>
      <c r="D15" s="17">
        <v>2013</v>
      </c>
      <c r="E15" s="17"/>
      <c r="F15" s="17" t="s">
        <v>87</v>
      </c>
      <c r="G15" s="17" t="s">
        <v>165</v>
      </c>
      <c r="H15" s="17" t="s">
        <v>165</v>
      </c>
      <c r="I15" s="17" t="s">
        <v>30</v>
      </c>
      <c r="J15" s="17" t="s">
        <v>48</v>
      </c>
      <c r="K15" s="17" t="s">
        <v>32</v>
      </c>
      <c r="L15" s="17">
        <v>44261</v>
      </c>
      <c r="M15" s="17" t="s">
        <v>69</v>
      </c>
      <c r="N15" s="17" t="s">
        <v>161</v>
      </c>
      <c r="O15" s="17"/>
      <c r="P15" s="17" t="s">
        <v>162</v>
      </c>
      <c r="Q15" s="17" t="s">
        <v>163</v>
      </c>
      <c r="R15" s="17" t="s">
        <v>35</v>
      </c>
      <c r="S15" s="17"/>
      <c r="T15" s="17" t="s">
        <v>93</v>
      </c>
      <c r="U15" s="17">
        <v>13.5</v>
      </c>
      <c r="V15" s="17" t="s">
        <v>37</v>
      </c>
      <c r="W15" s="17" t="s">
        <v>164</v>
      </c>
      <c r="X15" s="17" t="s">
        <v>135</v>
      </c>
      <c r="Y15" s="17" t="s">
        <v>40</v>
      </c>
      <c r="Z15" s="17">
        <v>1.82</v>
      </c>
      <c r="AA15" s="17">
        <v>0.65</v>
      </c>
      <c r="AB15" s="17">
        <v>5.09</v>
      </c>
      <c r="AC15" s="17"/>
      <c r="AD15" s="17"/>
      <c r="AE15" s="17"/>
      <c r="AF15" s="17"/>
      <c r="AG15" s="17"/>
      <c r="AH15" s="17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</row>
    <row r="16" ht="13.85" spans="1:81">
      <c r="A16" s="17">
        <v>940</v>
      </c>
      <c r="B16" s="17">
        <v>3</v>
      </c>
      <c r="C16" s="17"/>
      <c r="D16" s="17">
        <v>2013</v>
      </c>
      <c r="E16" s="17"/>
      <c r="F16" s="17" t="s">
        <v>87</v>
      </c>
      <c r="G16" s="17" t="s">
        <v>166</v>
      </c>
      <c r="H16" s="17" t="s">
        <v>166</v>
      </c>
      <c r="I16" s="17" t="s">
        <v>30</v>
      </c>
      <c r="J16" s="17" t="s">
        <v>48</v>
      </c>
      <c r="K16" s="17" t="s">
        <v>32</v>
      </c>
      <c r="L16" s="17">
        <v>1087840</v>
      </c>
      <c r="M16" s="17" t="s">
        <v>69</v>
      </c>
      <c r="N16" s="17" t="s">
        <v>161</v>
      </c>
      <c r="O16" s="17"/>
      <c r="P16" s="17" t="s">
        <v>162</v>
      </c>
      <c r="Q16" s="17" t="s">
        <v>163</v>
      </c>
      <c r="R16" s="17" t="s">
        <v>35</v>
      </c>
      <c r="S16" s="17"/>
      <c r="T16" s="17" t="s">
        <v>93</v>
      </c>
      <c r="U16" s="17">
        <v>13.5</v>
      </c>
      <c r="V16" s="17" t="s">
        <v>37</v>
      </c>
      <c r="W16" s="17" t="s">
        <v>164</v>
      </c>
      <c r="X16" s="17" t="s">
        <v>135</v>
      </c>
      <c r="Y16" s="17" t="s">
        <v>40</v>
      </c>
      <c r="Z16" s="17">
        <v>0.9</v>
      </c>
      <c r="AA16" s="17">
        <v>0.4</v>
      </c>
      <c r="AB16" s="17">
        <v>2.01</v>
      </c>
      <c r="AC16" s="17"/>
      <c r="AD16" s="17"/>
      <c r="AE16" s="17"/>
      <c r="AF16" s="17"/>
      <c r="AG16" s="17"/>
      <c r="AH16" s="17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</row>
    <row r="17" ht="13.85" spans="1:81">
      <c r="A17" s="17">
        <v>940</v>
      </c>
      <c r="B17" s="17">
        <v>4</v>
      </c>
      <c r="C17" s="17"/>
      <c r="D17" s="17">
        <v>2013</v>
      </c>
      <c r="E17" s="17"/>
      <c r="F17" s="17" t="s">
        <v>76</v>
      </c>
      <c r="G17" s="17" t="s">
        <v>160</v>
      </c>
      <c r="H17" s="17" t="s">
        <v>160</v>
      </c>
      <c r="I17" s="17" t="s">
        <v>30</v>
      </c>
      <c r="J17" s="17" t="s">
        <v>48</v>
      </c>
      <c r="K17" s="17" t="s">
        <v>32</v>
      </c>
      <c r="L17" s="17"/>
      <c r="M17" s="17"/>
      <c r="N17" s="17" t="s">
        <v>161</v>
      </c>
      <c r="O17" s="17"/>
      <c r="P17" s="17" t="s">
        <v>162</v>
      </c>
      <c r="Q17" s="17" t="s">
        <v>163</v>
      </c>
      <c r="R17" s="17" t="s">
        <v>35</v>
      </c>
      <c r="S17" s="17"/>
      <c r="T17" s="17" t="s">
        <v>93</v>
      </c>
      <c r="U17" s="17">
        <v>13.5</v>
      </c>
      <c r="V17" s="17" t="s">
        <v>37</v>
      </c>
      <c r="W17" s="17" t="s">
        <v>164</v>
      </c>
      <c r="X17" s="17" t="s">
        <v>135</v>
      </c>
      <c r="Y17" s="17" t="s">
        <v>40</v>
      </c>
      <c r="Z17" s="17">
        <v>1.53</v>
      </c>
      <c r="AA17" s="17">
        <v>1.05</v>
      </c>
      <c r="AB17" s="17">
        <v>2.24</v>
      </c>
      <c r="AC17" s="17"/>
      <c r="AD17" s="17"/>
      <c r="AE17" s="17"/>
      <c r="AF17" s="17"/>
      <c r="AG17" s="17"/>
      <c r="AH17" s="17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</row>
    <row r="18" ht="13.85" spans="1:81">
      <c r="A18" s="17">
        <v>940</v>
      </c>
      <c r="B18" s="17">
        <v>5</v>
      </c>
      <c r="C18" s="17"/>
      <c r="D18" s="17">
        <v>2013</v>
      </c>
      <c r="E18" s="17"/>
      <c r="F18" s="17" t="s">
        <v>76</v>
      </c>
      <c r="G18" s="17" t="s">
        <v>165</v>
      </c>
      <c r="H18" s="17" t="s">
        <v>165</v>
      </c>
      <c r="I18" s="17" t="s">
        <v>30</v>
      </c>
      <c r="J18" s="17" t="s">
        <v>48</v>
      </c>
      <c r="K18" s="17" t="s">
        <v>32</v>
      </c>
      <c r="L18" s="17"/>
      <c r="M18" s="17"/>
      <c r="N18" s="17" t="s">
        <v>161</v>
      </c>
      <c r="O18" s="17"/>
      <c r="P18" s="17" t="s">
        <v>162</v>
      </c>
      <c r="Q18" s="17" t="s">
        <v>163</v>
      </c>
      <c r="R18" s="17" t="s">
        <v>35</v>
      </c>
      <c r="S18" s="17"/>
      <c r="T18" s="17" t="s">
        <v>93</v>
      </c>
      <c r="U18" s="17">
        <v>13.5</v>
      </c>
      <c r="V18" s="17" t="s">
        <v>37</v>
      </c>
      <c r="W18" s="17" t="s">
        <v>164</v>
      </c>
      <c r="X18" s="17" t="s">
        <v>135</v>
      </c>
      <c r="Y18" s="17" t="s">
        <v>40</v>
      </c>
      <c r="Z18" s="17">
        <v>1.09</v>
      </c>
      <c r="AA18" s="17">
        <v>0.41</v>
      </c>
      <c r="AB18" s="17">
        <v>2.92</v>
      </c>
      <c r="AC18" s="17"/>
      <c r="AD18" s="17"/>
      <c r="AE18" s="17"/>
      <c r="AF18" s="17"/>
      <c r="AG18" s="17"/>
      <c r="AH18" s="17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</row>
    <row r="19" ht="13.85" spans="1:81">
      <c r="A19" s="17">
        <v>940</v>
      </c>
      <c r="B19" s="17">
        <v>6</v>
      </c>
      <c r="C19" s="17"/>
      <c r="D19" s="17">
        <v>2013</v>
      </c>
      <c r="E19" s="17"/>
      <c r="F19" s="17" t="s">
        <v>76</v>
      </c>
      <c r="G19" s="17" t="s">
        <v>166</v>
      </c>
      <c r="H19" s="17" t="s">
        <v>166</v>
      </c>
      <c r="I19" s="17" t="s">
        <v>30</v>
      </c>
      <c r="J19" s="17" t="s">
        <v>48</v>
      </c>
      <c r="K19" s="17" t="s">
        <v>32</v>
      </c>
      <c r="L19" s="17"/>
      <c r="M19" s="17"/>
      <c r="N19" s="17" t="s">
        <v>161</v>
      </c>
      <c r="O19" s="17"/>
      <c r="P19" s="17" t="s">
        <v>162</v>
      </c>
      <c r="Q19" s="17" t="s">
        <v>163</v>
      </c>
      <c r="R19" s="17" t="s">
        <v>35</v>
      </c>
      <c r="S19" s="17"/>
      <c r="T19" s="17" t="s">
        <v>93</v>
      </c>
      <c r="U19" s="17">
        <v>13.5</v>
      </c>
      <c r="V19" s="17" t="s">
        <v>37</v>
      </c>
      <c r="W19" s="17" t="s">
        <v>164</v>
      </c>
      <c r="X19" s="17" t="s">
        <v>135</v>
      </c>
      <c r="Y19" s="17" t="s">
        <v>40</v>
      </c>
      <c r="Z19" s="17">
        <v>2.42</v>
      </c>
      <c r="AA19" s="17">
        <v>1.5</v>
      </c>
      <c r="AB19" s="17">
        <v>3.9</v>
      </c>
      <c r="AC19" s="17"/>
      <c r="AD19" s="17"/>
      <c r="AE19" s="17"/>
      <c r="AF19" s="17"/>
      <c r="AG19" s="17"/>
      <c r="AH19" s="17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</row>
    <row r="20" ht="13.85" spans="1:81">
      <c r="A20" s="17">
        <v>1029</v>
      </c>
      <c r="B20" s="17">
        <v>1</v>
      </c>
      <c r="C20" s="17" t="s">
        <v>167</v>
      </c>
      <c r="D20" s="17">
        <v>2016</v>
      </c>
      <c r="E20" s="17" t="s">
        <v>168</v>
      </c>
      <c r="F20" s="17" t="s">
        <v>28</v>
      </c>
      <c r="G20" s="17" t="s">
        <v>88</v>
      </c>
      <c r="H20" s="17" t="s">
        <v>88</v>
      </c>
      <c r="I20" s="17" t="s">
        <v>30</v>
      </c>
      <c r="J20" s="17" t="s">
        <v>122</v>
      </c>
      <c r="K20" s="17" t="s">
        <v>32</v>
      </c>
      <c r="L20" s="17" t="s">
        <v>169</v>
      </c>
      <c r="M20" s="17" t="s">
        <v>69</v>
      </c>
      <c r="N20" s="17" t="s">
        <v>33</v>
      </c>
      <c r="O20" s="17"/>
      <c r="P20" s="17" t="s">
        <v>170</v>
      </c>
      <c r="Q20" s="17" t="s">
        <v>171</v>
      </c>
      <c r="R20" s="17" t="s">
        <v>35</v>
      </c>
      <c r="S20" s="17"/>
      <c r="T20" s="17" t="s">
        <v>93</v>
      </c>
      <c r="U20" s="17">
        <v>13.5</v>
      </c>
      <c r="V20" s="17" t="s">
        <v>37</v>
      </c>
      <c r="W20" s="17" t="s">
        <v>172</v>
      </c>
      <c r="X20" s="17" t="s">
        <v>135</v>
      </c>
      <c r="Y20" s="17" t="s">
        <v>40</v>
      </c>
      <c r="Z20" s="17">
        <v>1.67</v>
      </c>
      <c r="AA20" s="17">
        <v>1.43</v>
      </c>
      <c r="AB20" s="17">
        <v>1.95</v>
      </c>
      <c r="AC20" s="17"/>
      <c r="AD20" s="17"/>
      <c r="AE20" s="17"/>
      <c r="AF20" s="17"/>
      <c r="AG20" s="17"/>
      <c r="AH20" s="17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</row>
    <row r="21" ht="13.85" spans="1:81">
      <c r="A21" s="17">
        <v>1085</v>
      </c>
      <c r="B21" s="17">
        <v>1</v>
      </c>
      <c r="C21" s="17" t="s">
        <v>173</v>
      </c>
      <c r="D21" s="17" t="s">
        <v>174</v>
      </c>
      <c r="E21" s="17"/>
      <c r="F21" s="17" t="s">
        <v>175</v>
      </c>
      <c r="G21" s="17" t="s">
        <v>88</v>
      </c>
      <c r="H21" s="17" t="s">
        <v>88</v>
      </c>
      <c r="I21" s="17" t="s">
        <v>30</v>
      </c>
      <c r="J21" s="17" t="s">
        <v>122</v>
      </c>
      <c r="K21" s="17" t="s">
        <v>32</v>
      </c>
      <c r="L21" s="17" t="s">
        <v>69</v>
      </c>
      <c r="M21" s="17" t="s">
        <v>69</v>
      </c>
      <c r="N21" s="17" t="s">
        <v>161</v>
      </c>
      <c r="O21" s="17" t="s">
        <v>176</v>
      </c>
      <c r="P21" s="17" t="s">
        <v>177</v>
      </c>
      <c r="Q21" s="17" t="s">
        <v>178</v>
      </c>
      <c r="R21" s="17" t="s">
        <v>35</v>
      </c>
      <c r="S21" s="17" t="s">
        <v>179</v>
      </c>
      <c r="T21" s="17" t="s">
        <v>180</v>
      </c>
      <c r="U21" s="17">
        <v>1.5</v>
      </c>
      <c r="V21" s="17" t="s">
        <v>37</v>
      </c>
      <c r="W21" s="17" t="s">
        <v>135</v>
      </c>
      <c r="X21" s="17" t="s">
        <v>135</v>
      </c>
      <c r="Y21" s="17" t="s">
        <v>181</v>
      </c>
      <c r="Z21" s="17">
        <v>1.26</v>
      </c>
      <c r="AA21" s="17">
        <v>0.91</v>
      </c>
      <c r="AB21" s="17">
        <v>1.74</v>
      </c>
      <c r="AC21" s="17"/>
      <c r="AD21" s="17"/>
      <c r="AE21" s="17"/>
      <c r="AF21" s="17"/>
      <c r="AG21" s="17"/>
      <c r="AH21" s="17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</row>
    <row r="22" ht="13.85" spans="1:81">
      <c r="A22" s="17">
        <v>1085</v>
      </c>
      <c r="B22" s="17">
        <v>2</v>
      </c>
      <c r="C22" s="17"/>
      <c r="D22" s="17"/>
      <c r="E22" s="17"/>
      <c r="F22" s="17" t="s">
        <v>182</v>
      </c>
      <c r="G22" s="17" t="s">
        <v>88</v>
      </c>
      <c r="H22" s="17" t="s">
        <v>88</v>
      </c>
      <c r="I22" s="17" t="s">
        <v>30</v>
      </c>
      <c r="J22" s="17" t="s">
        <v>122</v>
      </c>
      <c r="K22" s="17" t="s">
        <v>32</v>
      </c>
      <c r="L22" s="17" t="s">
        <v>69</v>
      </c>
      <c r="M22" s="17" t="s">
        <v>69</v>
      </c>
      <c r="N22" s="17" t="s">
        <v>161</v>
      </c>
      <c r="O22" s="17" t="s">
        <v>176</v>
      </c>
      <c r="P22" s="17" t="s">
        <v>177</v>
      </c>
      <c r="Q22" s="17" t="s">
        <v>178</v>
      </c>
      <c r="R22" s="17" t="s">
        <v>35</v>
      </c>
      <c r="S22" s="17" t="s">
        <v>179</v>
      </c>
      <c r="T22" s="17" t="s">
        <v>180</v>
      </c>
      <c r="U22" s="17">
        <v>1.5</v>
      </c>
      <c r="V22" s="17" t="s">
        <v>37</v>
      </c>
      <c r="W22" s="17" t="s">
        <v>135</v>
      </c>
      <c r="X22" s="17" t="s">
        <v>135</v>
      </c>
      <c r="Y22" s="17" t="s">
        <v>181</v>
      </c>
      <c r="Z22" s="17">
        <v>1.99</v>
      </c>
      <c r="AA22" s="17">
        <v>1.68</v>
      </c>
      <c r="AB22" s="17">
        <v>2.36</v>
      </c>
      <c r="AC22" s="17"/>
      <c r="AD22" s="17"/>
      <c r="AE22" s="17"/>
      <c r="AF22" s="17"/>
      <c r="AG22" s="17"/>
      <c r="AH22" s="17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</row>
    <row r="23" ht="13.85" spans="1:81">
      <c r="A23" s="17">
        <v>1085</v>
      </c>
      <c r="B23" s="17">
        <v>3</v>
      </c>
      <c r="C23" s="17"/>
      <c r="D23" s="17"/>
      <c r="E23" s="17"/>
      <c r="F23" s="17" t="s">
        <v>183</v>
      </c>
      <c r="G23" s="17" t="s">
        <v>88</v>
      </c>
      <c r="H23" s="17" t="s">
        <v>88</v>
      </c>
      <c r="I23" s="17" t="s">
        <v>30</v>
      </c>
      <c r="J23" s="17" t="s">
        <v>122</v>
      </c>
      <c r="K23" s="17" t="s">
        <v>32</v>
      </c>
      <c r="L23" s="17" t="s">
        <v>69</v>
      </c>
      <c r="M23" s="17" t="s">
        <v>69</v>
      </c>
      <c r="N23" s="17" t="s">
        <v>161</v>
      </c>
      <c r="O23" s="17" t="s">
        <v>176</v>
      </c>
      <c r="P23" s="17" t="s">
        <v>177</v>
      </c>
      <c r="Q23" s="17" t="s">
        <v>178</v>
      </c>
      <c r="R23" s="17" t="s">
        <v>35</v>
      </c>
      <c r="S23" s="17" t="s">
        <v>179</v>
      </c>
      <c r="T23" s="17" t="s">
        <v>180</v>
      </c>
      <c r="U23" s="17">
        <v>1.5</v>
      </c>
      <c r="V23" s="17" t="s">
        <v>37</v>
      </c>
      <c r="W23" s="17" t="s">
        <v>135</v>
      </c>
      <c r="X23" s="17" t="s">
        <v>135</v>
      </c>
      <c r="Y23" s="17" t="s">
        <v>181</v>
      </c>
      <c r="Z23" s="17">
        <v>1.6</v>
      </c>
      <c r="AA23" s="17">
        <v>1.36</v>
      </c>
      <c r="AB23" s="17">
        <v>1.87</v>
      </c>
      <c r="AC23" s="17"/>
      <c r="AD23" s="17"/>
      <c r="AE23" s="17"/>
      <c r="AF23" s="17"/>
      <c r="AG23" s="17"/>
      <c r="AH23" s="17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</row>
    <row r="24" ht="13.85" spans="1:81">
      <c r="A24" s="17">
        <v>1085</v>
      </c>
      <c r="B24" s="17">
        <v>4</v>
      </c>
      <c r="C24" s="17"/>
      <c r="D24" s="17"/>
      <c r="E24" s="17"/>
      <c r="F24" s="34" t="s">
        <v>184</v>
      </c>
      <c r="G24" s="17" t="s">
        <v>88</v>
      </c>
      <c r="H24" s="17" t="s">
        <v>88</v>
      </c>
      <c r="I24" s="17" t="s">
        <v>30</v>
      </c>
      <c r="J24" s="17" t="s">
        <v>122</v>
      </c>
      <c r="K24" s="17" t="s">
        <v>32</v>
      </c>
      <c r="L24" s="17" t="s">
        <v>69</v>
      </c>
      <c r="M24" s="17" t="s">
        <v>69</v>
      </c>
      <c r="N24" s="17" t="s">
        <v>161</v>
      </c>
      <c r="O24" s="17" t="s">
        <v>176</v>
      </c>
      <c r="P24" s="17" t="s">
        <v>177</v>
      </c>
      <c r="Q24" s="17" t="s">
        <v>178</v>
      </c>
      <c r="R24" s="17" t="s">
        <v>35</v>
      </c>
      <c r="S24" s="17" t="s">
        <v>179</v>
      </c>
      <c r="T24" s="17" t="s">
        <v>180</v>
      </c>
      <c r="U24" s="17">
        <v>1.5</v>
      </c>
      <c r="V24" s="17" t="s">
        <v>37</v>
      </c>
      <c r="W24" s="17" t="s">
        <v>135</v>
      </c>
      <c r="X24" s="17" t="s">
        <v>135</v>
      </c>
      <c r="Y24" s="17" t="s">
        <v>181</v>
      </c>
      <c r="Z24" s="17">
        <v>2.16</v>
      </c>
      <c r="AA24" s="17">
        <v>1.81</v>
      </c>
      <c r="AB24" s="17">
        <v>2.57</v>
      </c>
      <c r="AC24" s="17"/>
      <c r="AD24" s="17"/>
      <c r="AE24" s="17"/>
      <c r="AF24" s="17"/>
      <c r="AG24" s="17"/>
      <c r="AH24" s="17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</row>
  </sheetData>
  <autoFilter xmlns:etc="http://www.wps.cn/officeDocument/2017/etCustomData" ref="A1:AH24" etc:filterBottomFollowUsedRange="0">
    <extLst/>
  </autoFilter>
  <mergeCells count="2">
    <mergeCell ref="AC1:AD1"/>
    <mergeCell ref="AE1:AG1"/>
  </mergeCells>
  <hyperlinks>
    <hyperlink ref="E20" r:id="rId3" display="Y Q Zhang" tooltip="https://pubmed.ncbi.nlm.nih.gov/?term=Zhang+YQ&amp;cauthor_id=27412842"/>
  </hyperlink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H14"/>
  <sheetViews>
    <sheetView workbookViewId="0">
      <pane xSplit="1" topLeftCell="B1" activePane="topRight" state="frozen"/>
      <selection/>
      <selection pane="topRight" activeCell="H1" sqref="H1"/>
    </sheetView>
  </sheetViews>
  <sheetFormatPr defaultColWidth="9.02654867256637" defaultRowHeight="13.85"/>
  <cols>
    <col min="1" max="16" width="9.02654867256637" style="20"/>
    <col min="17" max="17" width="67.1769911504425" style="20" customWidth="1"/>
    <col min="18" max="22" width="9.02654867256637" style="20"/>
    <col min="23" max="23" width="90" style="20" customWidth="1"/>
    <col min="24" max="16384" width="9.02654867256637" style="20"/>
  </cols>
  <sheetData>
    <row r="1" ht="13.9" spans="1:86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7" t="s">
        <v>6</v>
      </c>
      <c r="I1" s="8" t="s">
        <v>7</v>
      </c>
      <c r="J1" s="7" t="s">
        <v>8</v>
      </c>
      <c r="K1" s="8" t="s">
        <v>9</v>
      </c>
      <c r="L1" s="7" t="s">
        <v>10</v>
      </c>
      <c r="M1" s="9" t="s">
        <v>11</v>
      </c>
      <c r="N1" s="5" t="s">
        <v>185</v>
      </c>
      <c r="O1" s="7" t="s">
        <v>13</v>
      </c>
      <c r="P1" s="5" t="s">
        <v>14</v>
      </c>
      <c r="Q1" s="5" t="s">
        <v>15</v>
      </c>
      <c r="R1" s="5" t="s">
        <v>16</v>
      </c>
      <c r="S1" s="7" t="s">
        <v>17</v>
      </c>
      <c r="T1" s="5" t="s">
        <v>18</v>
      </c>
      <c r="U1" s="35" t="s">
        <v>19</v>
      </c>
      <c r="V1" s="5" t="s">
        <v>20</v>
      </c>
      <c r="W1" s="5" t="s">
        <v>21</v>
      </c>
      <c r="X1" s="5"/>
      <c r="Y1" s="7" t="s">
        <v>22</v>
      </c>
      <c r="Z1" s="6" t="s">
        <v>23</v>
      </c>
      <c r="AA1" s="5" t="s">
        <v>24</v>
      </c>
      <c r="AB1" s="5" t="s">
        <v>25</v>
      </c>
    </row>
    <row r="2" spans="1:86">
      <c r="A2" s="8">
        <v>8</v>
      </c>
      <c r="B2" s="8">
        <v>1</v>
      </c>
      <c r="C2" s="8"/>
      <c r="D2" s="8">
        <v>2024</v>
      </c>
      <c r="E2" s="8"/>
      <c r="F2" s="8" t="s">
        <v>87</v>
      </c>
      <c r="G2" s="8" t="s">
        <v>118</v>
      </c>
      <c r="H2" s="8" t="s">
        <v>118</v>
      </c>
      <c r="I2" s="8" t="s">
        <v>60</v>
      </c>
      <c r="J2" s="8" t="s">
        <v>119</v>
      </c>
      <c r="K2" s="8" t="s">
        <v>61</v>
      </c>
      <c r="L2" s="8"/>
      <c r="M2" s="8"/>
      <c r="N2" s="8" t="s">
        <v>90</v>
      </c>
      <c r="O2" s="8"/>
      <c r="P2" s="8"/>
      <c r="Q2" s="8" t="s">
        <v>126</v>
      </c>
      <c r="R2" s="8" t="s">
        <v>35</v>
      </c>
      <c r="S2" s="8"/>
      <c r="T2" s="8" t="s">
        <v>36</v>
      </c>
      <c r="U2" s="8">
        <v>10.5</v>
      </c>
      <c r="V2" s="8" t="s">
        <v>37</v>
      </c>
      <c r="W2" s="8" t="s">
        <v>186</v>
      </c>
      <c r="X2" s="8" t="s">
        <v>187</v>
      </c>
      <c r="Y2" s="8" t="s">
        <v>40</v>
      </c>
      <c r="Z2" s="8">
        <v>1.219</v>
      </c>
      <c r="AA2" s="8">
        <v>1.082</v>
      </c>
      <c r="AB2" s="8">
        <v>1.374</v>
      </c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</row>
    <row r="3" spans="1:86">
      <c r="A3" s="8">
        <v>8</v>
      </c>
      <c r="B3" s="8">
        <v>2</v>
      </c>
      <c r="C3" s="8"/>
      <c r="D3" s="8">
        <v>2024</v>
      </c>
      <c r="E3" s="8"/>
      <c r="F3" s="8" t="s">
        <v>129</v>
      </c>
      <c r="G3" s="8" t="s">
        <v>118</v>
      </c>
      <c r="H3" s="8" t="s">
        <v>118</v>
      </c>
      <c r="I3" s="8" t="s">
        <v>60</v>
      </c>
      <c r="J3" s="8" t="s">
        <v>119</v>
      </c>
      <c r="K3" s="8" t="s">
        <v>61</v>
      </c>
      <c r="L3" s="8"/>
      <c r="M3" s="8"/>
      <c r="N3" s="8" t="s">
        <v>90</v>
      </c>
      <c r="O3" s="8"/>
      <c r="P3" s="8"/>
      <c r="Q3" s="8" t="s">
        <v>126</v>
      </c>
      <c r="R3" s="8" t="s">
        <v>35</v>
      </c>
      <c r="S3" s="8"/>
      <c r="T3" s="8" t="s">
        <v>36</v>
      </c>
      <c r="U3" s="8">
        <v>10.5</v>
      </c>
      <c r="V3" s="8" t="s">
        <v>37</v>
      </c>
      <c r="W3" s="8" t="s">
        <v>186</v>
      </c>
      <c r="X3" s="8" t="s">
        <v>187</v>
      </c>
      <c r="Y3" s="8" t="s">
        <v>40</v>
      </c>
      <c r="Z3" s="8">
        <v>1.302</v>
      </c>
      <c r="AA3" s="8">
        <v>1.185</v>
      </c>
      <c r="AB3" s="8">
        <v>1.431</v>
      </c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spans="1:86">
      <c r="A4" s="8">
        <v>8</v>
      </c>
      <c r="B4" s="8">
        <v>3</v>
      </c>
      <c r="C4" s="8"/>
      <c r="D4" s="8">
        <v>2024</v>
      </c>
      <c r="E4" s="8"/>
      <c r="F4" s="8" t="s">
        <v>130</v>
      </c>
      <c r="G4" s="8" t="s">
        <v>118</v>
      </c>
      <c r="H4" s="8" t="s">
        <v>118</v>
      </c>
      <c r="I4" s="8" t="s">
        <v>60</v>
      </c>
      <c r="J4" s="8" t="s">
        <v>119</v>
      </c>
      <c r="K4" s="8" t="s">
        <v>61</v>
      </c>
      <c r="L4" s="8"/>
      <c r="M4" s="8"/>
      <c r="N4" s="8" t="s">
        <v>90</v>
      </c>
      <c r="O4" s="8"/>
      <c r="P4" s="8"/>
      <c r="Q4" s="8" t="s">
        <v>126</v>
      </c>
      <c r="R4" s="8" t="s">
        <v>35</v>
      </c>
      <c r="S4" s="8"/>
      <c r="T4" s="8" t="s">
        <v>36</v>
      </c>
      <c r="U4" s="8">
        <v>10.5</v>
      </c>
      <c r="V4" s="8" t="s">
        <v>37</v>
      </c>
      <c r="W4" s="8" t="s">
        <v>186</v>
      </c>
      <c r="X4" s="8" t="s">
        <v>187</v>
      </c>
      <c r="Y4" s="8" t="s">
        <v>40</v>
      </c>
      <c r="Z4" s="8">
        <v>1.278</v>
      </c>
      <c r="AA4" s="8">
        <v>1.118</v>
      </c>
      <c r="AB4" s="8">
        <v>1.462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</row>
    <row r="5" spans="1:86">
      <c r="A5" s="8">
        <v>871</v>
      </c>
      <c r="B5" s="8">
        <v>1</v>
      </c>
      <c r="C5" s="8" t="s">
        <v>188</v>
      </c>
      <c r="D5" s="8">
        <v>2021</v>
      </c>
      <c r="E5" s="8" t="s">
        <v>189</v>
      </c>
      <c r="F5" s="8" t="s">
        <v>28</v>
      </c>
      <c r="G5" s="8" t="s">
        <v>190</v>
      </c>
      <c r="H5" s="8" t="s">
        <v>190</v>
      </c>
      <c r="I5" s="8" t="s">
        <v>60</v>
      </c>
      <c r="J5" s="8" t="s">
        <v>52</v>
      </c>
      <c r="K5" s="8" t="s">
        <v>61</v>
      </c>
      <c r="L5" s="8">
        <v>2133</v>
      </c>
      <c r="M5" s="8">
        <v>0.58</v>
      </c>
      <c r="N5" s="8" t="s">
        <v>42</v>
      </c>
      <c r="O5" s="8"/>
      <c r="P5" s="8" t="s">
        <v>191</v>
      </c>
      <c r="Q5" s="8" t="s">
        <v>192</v>
      </c>
      <c r="R5" s="8" t="s">
        <v>49</v>
      </c>
      <c r="S5" s="8"/>
      <c r="T5" s="8" t="s">
        <v>82</v>
      </c>
      <c r="U5" s="8">
        <v>3.5</v>
      </c>
      <c r="V5" s="8" t="s">
        <v>37</v>
      </c>
      <c r="W5" s="8" t="s">
        <v>193</v>
      </c>
      <c r="X5" s="8" t="s">
        <v>194</v>
      </c>
      <c r="Y5" s="8" t="s">
        <v>46</v>
      </c>
      <c r="Z5" s="8">
        <v>1.05</v>
      </c>
      <c r="AA5" s="8">
        <v>1</v>
      </c>
      <c r="AB5" s="8">
        <v>1.1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</row>
    <row r="6" spans="1:86">
      <c r="A6" s="8">
        <v>1178</v>
      </c>
      <c r="B6" s="8">
        <v>1</v>
      </c>
      <c r="C6" s="8" t="s">
        <v>195</v>
      </c>
      <c r="D6" s="8" t="s">
        <v>196</v>
      </c>
      <c r="E6" s="8"/>
      <c r="F6" s="8" t="s">
        <v>197</v>
      </c>
      <c r="G6" s="8" t="s">
        <v>198</v>
      </c>
      <c r="H6" s="8" t="s">
        <v>198</v>
      </c>
      <c r="I6" s="8" t="s">
        <v>60</v>
      </c>
      <c r="J6" s="8" t="s">
        <v>52</v>
      </c>
      <c r="K6" s="8" t="s">
        <v>61</v>
      </c>
      <c r="L6" s="8" t="s">
        <v>199</v>
      </c>
      <c r="M6" s="8">
        <v>0.655</v>
      </c>
      <c r="N6" s="8" t="s">
        <v>42</v>
      </c>
      <c r="O6" s="8" t="s">
        <v>200</v>
      </c>
      <c r="P6" s="8" t="s">
        <v>201</v>
      </c>
      <c r="Q6" s="8" t="s">
        <v>202</v>
      </c>
      <c r="R6" s="8" t="s">
        <v>35</v>
      </c>
      <c r="S6" s="8" t="s">
        <v>179</v>
      </c>
      <c r="T6" s="36" t="s">
        <v>203</v>
      </c>
      <c r="U6" s="8">
        <v>4</v>
      </c>
      <c r="V6" s="8" t="s">
        <v>37</v>
      </c>
      <c r="W6" s="8" t="s">
        <v>204</v>
      </c>
      <c r="X6" s="8" t="s">
        <v>194</v>
      </c>
      <c r="Y6" s="8" t="s">
        <v>46</v>
      </c>
      <c r="Z6" s="8">
        <v>1.093</v>
      </c>
      <c r="AA6" s="8">
        <v>1.044</v>
      </c>
      <c r="AB6" s="8">
        <v>1.145</v>
      </c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</row>
    <row r="7" spans="1:86">
      <c r="A7" s="8">
        <v>1178</v>
      </c>
      <c r="B7" s="8">
        <v>2</v>
      </c>
      <c r="C7" s="8"/>
      <c r="D7" s="8"/>
      <c r="E7" s="8"/>
      <c r="F7" s="8" t="s">
        <v>197</v>
      </c>
      <c r="G7" s="8" t="s">
        <v>198</v>
      </c>
      <c r="H7" s="8" t="s">
        <v>198</v>
      </c>
      <c r="I7" s="8" t="s">
        <v>60</v>
      </c>
      <c r="J7" s="8" t="s">
        <v>52</v>
      </c>
      <c r="K7" s="8" t="s">
        <v>61</v>
      </c>
      <c r="L7" s="8" t="s">
        <v>199</v>
      </c>
      <c r="M7" s="8">
        <v>0.655</v>
      </c>
      <c r="N7" s="8" t="s">
        <v>42</v>
      </c>
      <c r="O7" s="8" t="s">
        <v>200</v>
      </c>
      <c r="P7" s="8" t="s">
        <v>201</v>
      </c>
      <c r="Q7" s="8" t="s">
        <v>202</v>
      </c>
      <c r="R7" s="8" t="s">
        <v>35</v>
      </c>
      <c r="S7" s="8" t="s">
        <v>179</v>
      </c>
      <c r="T7" s="36" t="s">
        <v>203</v>
      </c>
      <c r="U7" s="8">
        <v>4</v>
      </c>
      <c r="V7" s="8" t="s">
        <v>37</v>
      </c>
      <c r="W7" s="8" t="s">
        <v>205</v>
      </c>
      <c r="X7" s="8" t="s">
        <v>194</v>
      </c>
      <c r="Y7" s="8" t="s">
        <v>46</v>
      </c>
      <c r="Z7" s="8">
        <v>1.043</v>
      </c>
      <c r="AA7" s="8">
        <v>0.973</v>
      </c>
      <c r="AB7" s="8">
        <v>1.117</v>
      </c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</row>
    <row r="8" spans="1:8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</row>
    <row r="9" spans="1:8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</row>
    <row r="10" spans="1:86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</row>
    <row r="11" spans="1:8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</row>
    <row r="12" spans="1:8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</row>
    <row r="13" spans="1:8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</row>
    <row r="14" spans="1:8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</row>
  </sheetData>
  <autoFilter xmlns:etc="http://www.wps.cn/officeDocument/2017/etCustomData" ref="A1:AB7" etc:filterBottomFollowUsedRange="0">
    <extLst/>
  </autoFilter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7"/>
  <sheetViews>
    <sheetView workbookViewId="0">
      <selection activeCell="J30" sqref="J30"/>
    </sheetView>
  </sheetViews>
  <sheetFormatPr defaultColWidth="9.02654867256637" defaultRowHeight="13.5" outlineLevelRow="6"/>
  <cols>
    <col min="17" max="17" width="72.8230088495575" customWidth="1"/>
    <col min="18" max="18" width="22.0176991150442" customWidth="1"/>
    <col min="19" max="19" width="19.4159292035398" customWidth="1"/>
    <col min="20" max="20" width="8.84955752212389" customWidth="1"/>
    <col min="21" max="21" width="7.24778761061947" customWidth="1"/>
    <col min="22" max="22" width="17.4247787610619" customWidth="1"/>
    <col min="23" max="23" width="90.2743362831858" customWidth="1"/>
  </cols>
  <sheetData>
    <row r="1" ht="13.9" spans="1:67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6" t="s">
        <v>6</v>
      </c>
      <c r="I1" s="17" t="s">
        <v>7</v>
      </c>
      <c r="J1" s="16" t="s">
        <v>8</v>
      </c>
      <c r="K1" s="17" t="s">
        <v>9</v>
      </c>
      <c r="L1" s="16" t="s">
        <v>10</v>
      </c>
      <c r="M1" s="18" t="s">
        <v>11</v>
      </c>
      <c r="N1" s="14" t="s">
        <v>185</v>
      </c>
      <c r="O1" s="16" t="s">
        <v>13</v>
      </c>
      <c r="P1" s="14" t="s">
        <v>14</v>
      </c>
      <c r="Q1" s="14" t="s">
        <v>15</v>
      </c>
      <c r="R1" s="14" t="s">
        <v>16</v>
      </c>
      <c r="S1" s="16" t="s">
        <v>17</v>
      </c>
      <c r="T1" s="14" t="s">
        <v>18</v>
      </c>
      <c r="U1" s="33" t="s">
        <v>19</v>
      </c>
      <c r="V1" s="14" t="s">
        <v>20</v>
      </c>
      <c r="W1" s="14" t="s">
        <v>21</v>
      </c>
      <c r="X1" s="14"/>
      <c r="Y1" s="16" t="s">
        <v>22</v>
      </c>
      <c r="Z1" s="15" t="s">
        <v>23</v>
      </c>
      <c r="AA1" s="14" t="s">
        <v>24</v>
      </c>
      <c r="AB1" s="14" t="s">
        <v>25</v>
      </c>
    </row>
    <row r="2" ht="13.85" spans="1:67">
      <c r="A2" s="17">
        <v>8</v>
      </c>
      <c r="B2" s="17">
        <v>1</v>
      </c>
      <c r="C2" s="17"/>
      <c r="D2" s="17">
        <v>2024</v>
      </c>
      <c r="E2" s="17"/>
      <c r="F2" s="17" t="s">
        <v>87</v>
      </c>
      <c r="G2" s="17" t="s">
        <v>118</v>
      </c>
      <c r="H2" s="17" t="s">
        <v>118</v>
      </c>
      <c r="I2" s="17" t="s">
        <v>60</v>
      </c>
      <c r="J2" s="17" t="s">
        <v>119</v>
      </c>
      <c r="K2" s="17" t="s">
        <v>61</v>
      </c>
      <c r="L2" s="17"/>
      <c r="M2" s="17"/>
      <c r="N2" s="17" t="s">
        <v>90</v>
      </c>
      <c r="O2" s="17"/>
      <c r="P2" s="17"/>
      <c r="Q2" s="17" t="s">
        <v>126</v>
      </c>
      <c r="R2" s="17" t="s">
        <v>35</v>
      </c>
      <c r="S2" s="17"/>
      <c r="T2" s="17" t="s">
        <v>36</v>
      </c>
      <c r="U2" s="17">
        <v>10.5</v>
      </c>
      <c r="V2" s="17" t="s">
        <v>37</v>
      </c>
      <c r="W2" s="17" t="s">
        <v>206</v>
      </c>
      <c r="X2" s="17" t="s">
        <v>207</v>
      </c>
      <c r="Y2" s="17" t="s">
        <v>40</v>
      </c>
      <c r="Z2" s="17">
        <v>1.744</v>
      </c>
      <c r="AA2" s="17">
        <v>1.513</v>
      </c>
      <c r="AB2" s="17">
        <v>2.01</v>
      </c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</row>
    <row r="3" ht="13.85" spans="1:67">
      <c r="A3" s="17">
        <v>8</v>
      </c>
      <c r="B3" s="17">
        <v>2</v>
      </c>
      <c r="C3" s="17"/>
      <c r="D3" s="17">
        <v>2024</v>
      </c>
      <c r="E3" s="17"/>
      <c r="F3" s="17" t="s">
        <v>129</v>
      </c>
      <c r="G3" s="17" t="s">
        <v>118</v>
      </c>
      <c r="H3" s="17" t="s">
        <v>118</v>
      </c>
      <c r="I3" s="17" t="s">
        <v>60</v>
      </c>
      <c r="J3" s="17" t="s">
        <v>119</v>
      </c>
      <c r="K3" s="17" t="s">
        <v>61</v>
      </c>
      <c r="L3" s="17"/>
      <c r="M3" s="17"/>
      <c r="N3" s="17" t="s">
        <v>90</v>
      </c>
      <c r="O3" s="17"/>
      <c r="P3" s="17"/>
      <c r="Q3" s="17" t="s">
        <v>126</v>
      </c>
      <c r="R3" s="17" t="s">
        <v>35</v>
      </c>
      <c r="S3" s="17"/>
      <c r="T3" s="17" t="s">
        <v>36</v>
      </c>
      <c r="U3" s="17">
        <v>10.5</v>
      </c>
      <c r="V3" s="17" t="s">
        <v>37</v>
      </c>
      <c r="W3" s="17" t="s">
        <v>206</v>
      </c>
      <c r="X3" s="17" t="s">
        <v>207</v>
      </c>
      <c r="Y3" s="17" t="s">
        <v>40</v>
      </c>
      <c r="Z3" s="17">
        <v>1.797</v>
      </c>
      <c r="AA3" s="17">
        <v>1.6</v>
      </c>
      <c r="AB3" s="17">
        <v>2.019</v>
      </c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</row>
    <row r="4" ht="13.85" spans="1:67">
      <c r="A4" s="17">
        <v>8</v>
      </c>
      <c r="B4" s="17">
        <v>3</v>
      </c>
      <c r="C4" s="17"/>
      <c r="D4" s="17">
        <v>2024</v>
      </c>
      <c r="E4" s="17"/>
      <c r="F4" s="17" t="s">
        <v>130</v>
      </c>
      <c r="G4" s="17" t="s">
        <v>118</v>
      </c>
      <c r="H4" s="17" t="s">
        <v>118</v>
      </c>
      <c r="I4" s="17" t="s">
        <v>60</v>
      </c>
      <c r="J4" s="17" t="s">
        <v>119</v>
      </c>
      <c r="K4" s="17" t="s">
        <v>61</v>
      </c>
      <c r="L4" s="17"/>
      <c r="M4" s="17"/>
      <c r="N4" s="17" t="s">
        <v>90</v>
      </c>
      <c r="O4" s="17"/>
      <c r="P4" s="17"/>
      <c r="Q4" s="17" t="s">
        <v>126</v>
      </c>
      <c r="R4" s="17" t="s">
        <v>35</v>
      </c>
      <c r="S4" s="17"/>
      <c r="T4" s="17" t="s">
        <v>36</v>
      </c>
      <c r="U4" s="17">
        <v>10.5</v>
      </c>
      <c r="V4" s="17" t="s">
        <v>37</v>
      </c>
      <c r="W4" s="17" t="s">
        <v>206</v>
      </c>
      <c r="X4" s="17" t="s">
        <v>207</v>
      </c>
      <c r="Y4" s="17" t="s">
        <v>40</v>
      </c>
      <c r="Z4" s="17">
        <v>1.684</v>
      </c>
      <c r="AA4" s="17">
        <v>1.437</v>
      </c>
      <c r="AB4" s="17">
        <v>1.974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</row>
    <row r="5" ht="13.85" spans="1:67">
      <c r="A5" s="17">
        <v>1133</v>
      </c>
      <c r="B5" s="17">
        <v>1</v>
      </c>
      <c r="C5" s="17"/>
      <c r="D5" s="17"/>
      <c r="E5" s="17"/>
      <c r="F5" s="17" t="s">
        <v>28</v>
      </c>
      <c r="G5" s="17" t="s">
        <v>208</v>
      </c>
      <c r="H5" s="17" t="s">
        <v>208</v>
      </c>
      <c r="I5" s="17" t="s">
        <v>30</v>
      </c>
      <c r="J5" s="17" t="s">
        <v>209</v>
      </c>
      <c r="K5" s="17" t="s">
        <v>32</v>
      </c>
      <c r="L5" s="17" t="s">
        <v>210</v>
      </c>
      <c r="M5" s="17" t="s">
        <v>69</v>
      </c>
      <c r="N5" s="17" t="s">
        <v>33</v>
      </c>
      <c r="O5" s="17" t="s">
        <v>211</v>
      </c>
      <c r="P5" s="17" t="s">
        <v>212</v>
      </c>
      <c r="Q5" s="17" t="s">
        <v>213</v>
      </c>
      <c r="R5" s="17" t="s">
        <v>35</v>
      </c>
      <c r="S5" s="17" t="s">
        <v>179</v>
      </c>
      <c r="T5" s="17" t="s">
        <v>82</v>
      </c>
      <c r="U5" s="17">
        <v>3.5</v>
      </c>
      <c r="V5" s="17" t="s">
        <v>37</v>
      </c>
      <c r="W5" s="17" t="s">
        <v>214</v>
      </c>
      <c r="X5" s="17" t="s">
        <v>207</v>
      </c>
      <c r="Y5" s="17" t="s">
        <v>40</v>
      </c>
      <c r="Z5" s="17">
        <v>1.766</v>
      </c>
      <c r="AA5" s="17">
        <v>1.156</v>
      </c>
      <c r="AB5" s="17">
        <v>2.696</v>
      </c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</row>
    <row r="6" ht="13.85" spans="1:67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</row>
    <row r="7" ht="13.85" spans="1:6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</row>
  </sheetData>
  <autoFilter xmlns:etc="http://www.wps.cn/officeDocument/2017/etCustomData" ref="A1:AB5" etc:filterBottomFollowUsedRange="0">
    <extLst/>
  </autoFilter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5"/>
  <sheetViews>
    <sheetView tabSelected="1" workbookViewId="0">
      <selection activeCell="Q27" sqref="Q27"/>
    </sheetView>
  </sheetViews>
  <sheetFormatPr defaultColWidth="9.02654867256637" defaultRowHeight="13.5"/>
  <cols>
    <col min="1" max="16" width="9.02654867256637" style="2"/>
    <col min="17" max="17" width="56.8141592920354" style="2" customWidth="1"/>
    <col min="18" max="22" width="9.02654867256637" style="2"/>
    <col min="23" max="23" width="18.8318584070796" style="2" customWidth="1"/>
    <col min="24" max="34" width="9.02654867256637" style="2"/>
  </cols>
  <sheetData>
    <row r="1" ht="13.9" spans="1:34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7" t="s">
        <v>6</v>
      </c>
      <c r="I1" s="8" t="s">
        <v>7</v>
      </c>
      <c r="J1" s="7" t="s">
        <v>8</v>
      </c>
      <c r="K1" s="8" t="s">
        <v>9</v>
      </c>
      <c r="L1" s="7" t="s">
        <v>10</v>
      </c>
      <c r="M1" s="9" t="s">
        <v>11</v>
      </c>
      <c r="N1" s="5" t="s">
        <v>185</v>
      </c>
      <c r="O1" s="7" t="s">
        <v>13</v>
      </c>
      <c r="P1" s="5" t="s">
        <v>14</v>
      </c>
      <c r="Q1" s="5" t="s">
        <v>15</v>
      </c>
      <c r="R1" s="5" t="s">
        <v>16</v>
      </c>
      <c r="S1" s="7" t="s">
        <v>17</v>
      </c>
      <c r="T1" s="5" t="s">
        <v>18</v>
      </c>
      <c r="U1" s="35" t="s">
        <v>19</v>
      </c>
      <c r="V1" s="5" t="s">
        <v>20</v>
      </c>
      <c r="W1" s="5" t="s">
        <v>21</v>
      </c>
      <c r="X1" s="5"/>
      <c r="Y1" s="8" t="s">
        <v>22</v>
      </c>
      <c r="Z1" s="8" t="s">
        <v>23</v>
      </c>
      <c r="AA1" s="8" t="s">
        <v>24</v>
      </c>
      <c r="AB1" s="8" t="s">
        <v>25</v>
      </c>
      <c r="AC1" s="8"/>
    </row>
    <row r="2" ht="13.85" spans="1:34">
      <c r="A2" s="8">
        <v>155</v>
      </c>
      <c r="B2" s="8">
        <v>1</v>
      </c>
      <c r="C2" s="8"/>
      <c r="D2" s="8">
        <v>2024</v>
      </c>
      <c r="E2" s="8"/>
      <c r="F2" s="8" t="s">
        <v>28</v>
      </c>
      <c r="G2" s="8" t="s">
        <v>29</v>
      </c>
      <c r="H2" s="8" t="s">
        <v>29</v>
      </c>
      <c r="I2" s="8" t="s">
        <v>30</v>
      </c>
      <c r="J2" s="8" t="s">
        <v>31</v>
      </c>
      <c r="K2" s="8" t="s">
        <v>32</v>
      </c>
      <c r="L2" s="8"/>
      <c r="M2" s="8">
        <v>0.438</v>
      </c>
      <c r="N2" s="8" t="s">
        <v>33</v>
      </c>
      <c r="O2" s="8"/>
      <c r="P2" s="8"/>
      <c r="Q2" s="8" t="s">
        <v>34</v>
      </c>
      <c r="R2" s="8" t="s">
        <v>35</v>
      </c>
      <c r="S2" s="8"/>
      <c r="T2" s="8" t="s">
        <v>36</v>
      </c>
      <c r="U2" s="8">
        <v>10.5</v>
      </c>
      <c r="V2" s="8" t="s">
        <v>37</v>
      </c>
      <c r="W2" s="8" t="s">
        <v>215</v>
      </c>
      <c r="X2" s="8" t="s">
        <v>216</v>
      </c>
      <c r="Y2" s="8" t="s">
        <v>40</v>
      </c>
      <c r="Z2" s="8">
        <v>1.51</v>
      </c>
      <c r="AA2" s="8">
        <v>1.06</v>
      </c>
      <c r="AB2" s="8">
        <v>2.17</v>
      </c>
      <c r="AC2" s="8"/>
    </row>
    <row r="3" ht="13.85" spans="1:34">
      <c r="A3" s="8">
        <v>694</v>
      </c>
      <c r="B3" s="8">
        <v>2</v>
      </c>
      <c r="C3" s="8"/>
      <c r="D3" s="8">
        <v>2024</v>
      </c>
      <c r="E3" s="8"/>
      <c r="F3" s="8" t="s">
        <v>87</v>
      </c>
      <c r="G3" s="8" t="s">
        <v>88</v>
      </c>
      <c r="H3" s="8" t="s">
        <v>88</v>
      </c>
      <c r="I3" s="8" t="s">
        <v>30</v>
      </c>
      <c r="J3" s="8" t="s">
        <v>122</v>
      </c>
      <c r="K3" s="8" t="s">
        <v>32</v>
      </c>
      <c r="L3" s="8"/>
      <c r="M3" s="8"/>
      <c r="N3" s="8" t="s">
        <v>33</v>
      </c>
      <c r="O3" s="8"/>
      <c r="P3" s="8"/>
      <c r="Q3" s="8" t="s">
        <v>217</v>
      </c>
      <c r="R3" s="8" t="s">
        <v>35</v>
      </c>
      <c r="S3" s="8"/>
      <c r="T3" s="8" t="s">
        <v>218</v>
      </c>
      <c r="U3" s="8">
        <v>14</v>
      </c>
      <c r="V3" s="8" t="s">
        <v>37</v>
      </c>
      <c r="W3" s="8" t="s">
        <v>219</v>
      </c>
      <c r="X3" s="8" t="s">
        <v>216</v>
      </c>
      <c r="Y3" s="8" t="s">
        <v>40</v>
      </c>
      <c r="Z3" s="8">
        <v>1.27</v>
      </c>
      <c r="AA3" s="8">
        <v>1.13</v>
      </c>
      <c r="AB3" s="8">
        <v>1.42</v>
      </c>
      <c r="AC3" s="8"/>
    </row>
    <row r="4" ht="13.85" spans="1:34">
      <c r="A4" s="8">
        <v>694</v>
      </c>
      <c r="B4" s="8">
        <v>1</v>
      </c>
      <c r="C4" s="8"/>
      <c r="D4" s="8">
        <v>2024</v>
      </c>
      <c r="E4" s="8"/>
      <c r="F4" s="8" t="s">
        <v>76</v>
      </c>
      <c r="G4" s="8" t="s">
        <v>88</v>
      </c>
      <c r="H4" s="8" t="s">
        <v>88</v>
      </c>
      <c r="I4" s="8" t="s">
        <v>30</v>
      </c>
      <c r="J4" s="8" t="s">
        <v>122</v>
      </c>
      <c r="K4" s="8" t="s">
        <v>32</v>
      </c>
      <c r="L4" s="8"/>
      <c r="M4" s="8"/>
      <c r="N4" s="8" t="s">
        <v>33</v>
      </c>
      <c r="O4" s="8"/>
      <c r="P4" s="8"/>
      <c r="Q4" s="8" t="s">
        <v>217</v>
      </c>
      <c r="R4" s="8" t="s">
        <v>35</v>
      </c>
      <c r="S4" s="8"/>
      <c r="T4" s="8" t="s">
        <v>218</v>
      </c>
      <c r="U4" s="8">
        <v>14</v>
      </c>
      <c r="V4" s="8" t="s">
        <v>37</v>
      </c>
      <c r="W4" s="8" t="s">
        <v>219</v>
      </c>
      <c r="X4" s="8" t="s">
        <v>216</v>
      </c>
      <c r="Y4" s="8" t="s">
        <v>40</v>
      </c>
      <c r="Z4" s="8">
        <v>1.23</v>
      </c>
      <c r="AA4" s="8">
        <v>1.09</v>
      </c>
      <c r="AB4" s="8">
        <v>1.39</v>
      </c>
      <c r="AC4" s="8"/>
    </row>
    <row r="5" s="1" customFormat="1" ht="13.9" spans="1:34">
      <c r="A5" s="8">
        <v>136</v>
      </c>
      <c r="B5" s="8">
        <v>1</v>
      </c>
      <c r="C5" s="8" t="s">
        <v>85</v>
      </c>
      <c r="D5" s="8">
        <v>2019</v>
      </c>
      <c r="E5" s="8" t="s">
        <v>220</v>
      </c>
      <c r="F5" s="8" t="s">
        <v>87</v>
      </c>
      <c r="G5" s="8" t="s">
        <v>88</v>
      </c>
      <c r="H5" s="8" t="str">
        <f>VLOOKUP(G5,[1]Sheet1!A:E,2,FALSE)</f>
        <v>China</v>
      </c>
      <c r="I5" s="8" t="str">
        <f>VLOOKUP(G5,[1]Sheet1!A:E,3,FALSE)</f>
        <v>Asia</v>
      </c>
      <c r="J5" s="8" t="str">
        <f>VLOOKUP(G5,[1]Sheet1!A:E,4,FALSE)</f>
        <v>Mixed</v>
      </c>
      <c r="K5" s="8" t="str">
        <f>VLOOKUP(G5,[1]Sheet1!A:E,5,FALSE)</f>
        <v>Upper-middle income</v>
      </c>
      <c r="L5" s="8" t="s">
        <v>89</v>
      </c>
      <c r="M5" s="8"/>
      <c r="N5" s="8" t="s">
        <v>90</v>
      </c>
      <c r="O5" s="8"/>
      <c r="P5" s="8" t="s">
        <v>91</v>
      </c>
      <c r="Q5" s="8" t="s">
        <v>92</v>
      </c>
      <c r="R5" s="8" t="s">
        <v>35</v>
      </c>
      <c r="S5" s="8"/>
      <c r="T5" s="8"/>
      <c r="U5" s="8"/>
      <c r="V5" s="8" t="s">
        <v>37</v>
      </c>
      <c r="W5" s="8"/>
      <c r="X5" s="8" t="s">
        <v>216</v>
      </c>
      <c r="Y5" s="8" t="s">
        <v>40</v>
      </c>
      <c r="Z5" s="8">
        <v>1.6</v>
      </c>
      <c r="AA5" s="8">
        <v>1.34</v>
      </c>
      <c r="AB5" s="8">
        <v>1.86</v>
      </c>
      <c r="AC5" s="8"/>
      <c r="AD5" s="11"/>
      <c r="AE5" s="11"/>
      <c r="AF5" s="11"/>
      <c r="AG5" s="11"/>
      <c r="AH5" s="11"/>
    </row>
    <row r="6" s="1" customFormat="1" ht="13.85" spans="1:34">
      <c r="A6" s="8">
        <v>136</v>
      </c>
      <c r="B6" s="8">
        <v>2</v>
      </c>
      <c r="C6" s="8"/>
      <c r="D6" s="8">
        <v>2019</v>
      </c>
      <c r="E6" s="8"/>
      <c r="F6" s="8" t="s">
        <v>76</v>
      </c>
      <c r="G6" s="8" t="s">
        <v>88</v>
      </c>
      <c r="H6" s="8" t="str">
        <f>VLOOKUP(G6,[1]Sheet1!A:E,2,FALSE)</f>
        <v>China</v>
      </c>
      <c r="I6" s="8" t="str">
        <f>VLOOKUP(G6,[1]Sheet1!A:E,3,FALSE)</f>
        <v>Asia</v>
      </c>
      <c r="J6" s="8" t="str">
        <f>VLOOKUP(G6,[1]Sheet1!A:E,4,FALSE)</f>
        <v>Mixed</v>
      </c>
      <c r="K6" s="8" t="str">
        <f>VLOOKUP(G6,[1]Sheet1!A:E,5,FALSE)</f>
        <v>Upper-middle income</v>
      </c>
      <c r="L6" s="8"/>
      <c r="M6" s="8"/>
      <c r="N6" s="8" t="s">
        <v>90</v>
      </c>
      <c r="O6" s="8"/>
      <c r="P6" s="8"/>
      <c r="Q6" s="8"/>
      <c r="R6" s="8" t="s">
        <v>35</v>
      </c>
      <c r="S6" s="8"/>
      <c r="T6" s="8"/>
      <c r="U6" s="8"/>
      <c r="V6" s="8" t="s">
        <v>37</v>
      </c>
      <c r="W6" s="8"/>
      <c r="X6" s="8" t="s">
        <v>216</v>
      </c>
      <c r="Y6" s="8" t="s">
        <v>40</v>
      </c>
      <c r="Z6" s="8">
        <v>1.84</v>
      </c>
      <c r="AA6" s="8">
        <v>1.61</v>
      </c>
      <c r="AB6" s="8">
        <v>2.07</v>
      </c>
      <c r="AC6" s="8"/>
      <c r="AD6" s="11"/>
      <c r="AE6" s="11"/>
      <c r="AF6" s="11"/>
      <c r="AG6" s="11"/>
      <c r="AH6" s="11"/>
    </row>
    <row r="7" ht="13.85" spans="1:34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13.85" spans="1:34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13.85" spans="1:34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3.85" spans="1:3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13.85" spans="1:3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85" spans="1:3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85" spans="1:3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85" spans="1:3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85" spans="1:3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Circulatory Diseases Mortality</vt:lpstr>
      <vt:lpstr>Hospitalization</vt:lpstr>
      <vt:lpstr>all-cause mortality</vt:lpstr>
      <vt:lpstr>Circulatory Diseases Morbidity</vt:lpstr>
      <vt:lpstr>Respiratory Diseases Morbidity</vt:lpstr>
      <vt:lpstr>Respiratory Diseases Mortality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李燊</dc:creator>
  <cp:lastModifiedBy>WPS_1602315140</cp:lastModifiedBy>
  <dcterms:created xsi:type="dcterms:W3CDTF">2023-05-12T11:15:00Z</dcterms:created>
  <dcterms:modified xsi:type="dcterms:W3CDTF">2026-08-14T03:04:28Z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3E3DC983F45949CFA1A802642D574053_12</vt:lpwstr>
  </property>
</Properties>
</file>