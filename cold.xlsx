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0560" activeTab="3"/>
  </bookViews>
  <sheets>
    <sheet name="all-cause mortality" sheetId="2" r:id="rId1"/>
    <sheet name="Circulatory Diseases Morbidity" sheetId="3" r:id="rId2"/>
    <sheet name="Hospitalization" sheetId="4" r:id="rId3"/>
    <sheet name="emergency" sheetId="5" r:id="rId4"/>
  </sheets>
  <externalReferences>
    <externalReference r:id="rId5"/>
  </externalReferences>
  <definedNames>
    <definedName name="_xlnm._FilterDatabase" localSheetId="0" hidden="1">'all-cause mortality'!$A$1:$AB$55</definedName>
    <definedName name="_xlnm._FilterDatabase" localSheetId="2" hidden="1">Hospitalization!$A$1:$AB$4</definedName>
    <definedName name="_xlnm._FilterDatabase" localSheetId="3" hidden="1">emergency!$A$1:$AB$3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4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sharedStrings.xml><?xml version="1.0" encoding="utf-8"?>
<sst xmlns="http://schemas.openxmlformats.org/spreadsheetml/2006/main" count="989" uniqueCount="154">
  <si>
    <t>Study</t>
  </si>
  <si>
    <t>ID</t>
  </si>
  <si>
    <t>title</t>
  </si>
  <si>
    <t>year</t>
  </si>
  <si>
    <t>Author/Year</t>
  </si>
  <si>
    <t>age</t>
  </si>
  <si>
    <t>Country/Location</t>
  </si>
  <si>
    <t>Continent</t>
  </si>
  <si>
    <t>ClimateZone</t>
  </si>
  <si>
    <t>IncomeGroup</t>
  </si>
  <si>
    <t>Events/(total)</t>
  </si>
  <si>
    <t>Sex (Male Proportion)</t>
  </si>
  <si>
    <r>
      <t>Study design (cross-section/ cohort/ RCT</t>
    </r>
    <r>
      <rPr>
        <sz val="11"/>
        <rFont val="等线"/>
        <charset val="134"/>
      </rPr>
      <t>）</t>
    </r>
  </si>
  <si>
    <t>Exposure Time Period</t>
  </si>
  <si>
    <t>Temperature measure/source</t>
  </si>
  <si>
    <t>Definiton of climate change</t>
  </si>
  <si>
    <t>Definition of temperature</t>
  </si>
  <si>
    <t>Comparison</t>
  </si>
  <si>
    <t>Lag Time</t>
  </si>
  <si>
    <t>Lagmid</t>
  </si>
  <si>
    <t>LagTape</t>
  </si>
  <si>
    <t>Outcome</t>
  </si>
  <si>
    <t>Metric</t>
  </si>
  <si>
    <t>effect</t>
  </si>
  <si>
    <t>lci</t>
  </si>
  <si>
    <t>uci</t>
  </si>
  <si>
    <t>65-74 y</t>
  </si>
  <si>
    <t>Greater London</t>
  </si>
  <si>
    <t>UK</t>
  </si>
  <si>
    <t>Europe</t>
  </si>
  <si>
    <t>Oceanic</t>
  </si>
  <si>
    <t>High income</t>
  </si>
  <si>
    <t>time-series study</t>
  </si>
  <si>
    <t>1 °C decrease below the 35th percentile of the mean temperature distribution</t>
  </si>
  <si>
    <t>cold</t>
  </si>
  <si>
    <t>0-27</t>
  </si>
  <si>
    <t>Cumulative Effect</t>
  </si>
  <si>
    <t xml:space="preserve">all-cause mortality </t>
  </si>
  <si>
    <t>all-cause mortality</t>
  </si>
  <si>
    <t>RR</t>
  </si>
  <si>
    <t>≥ 75 y</t>
  </si>
  <si>
    <t>Greater Manchester</t>
  </si>
  <si>
    <t>West Midlands</t>
  </si>
  <si>
    <t>Case-crossover study on association between temperature and non-accidental mortality in Tibet Plateau, China</t>
  </si>
  <si>
    <t>BAI Guoxia et al.</t>
  </si>
  <si>
    <t>≥ 65y</t>
  </si>
  <si>
    <t>Taiwan, China</t>
  </si>
  <si>
    <t>Asia</t>
  </si>
  <si>
    <t>Humid Subtropical</t>
  </si>
  <si>
    <t>Upper-middle income</t>
  </si>
  <si>
    <t xml:space="preserve"> 13 621</t>
  </si>
  <si>
    <t>case-crossover study</t>
  </si>
  <si>
    <t>Resource and Environmental Science and Data Center, Institute of Geographic Science and Resources, Chinese Academy of Sciences</t>
  </si>
  <si>
    <t>1°C decrease in minimum mortality temperature</t>
  </si>
  <si>
    <t>non-accidental death</t>
  </si>
  <si>
    <t>IRR</t>
  </si>
  <si>
    <r>
      <t>Impacts of cold weather on all-cause and cause-specific mortality in Texas, 1990</t>
    </r>
    <r>
      <rPr>
        <sz val="11"/>
        <rFont val="宋体"/>
        <charset val="134"/>
      </rPr>
      <t>鈥</t>
    </r>
    <r>
      <rPr>
        <sz val="11"/>
        <rFont val="Times New Roman"/>
        <charset val="134"/>
      </rPr>
      <t>?011</t>
    </r>
  </si>
  <si>
    <t>Tsun-Hsuan Chen, et</t>
  </si>
  <si>
    <t>Texas, USA</t>
  </si>
  <si>
    <t>North America</t>
  </si>
  <si>
    <t>NA</t>
  </si>
  <si>
    <t xml:space="preserve"> Cohort Study</t>
  </si>
  <si>
    <t>National Climate Data Center (NCDC) through the Integrated Surface Database (ISD)</t>
  </si>
  <si>
    <t>1 °C decrease in temperature below threshold</t>
  </si>
  <si>
    <t>0-25</t>
  </si>
  <si>
    <t>Geographic and socioeconomic differences in heat-related mortality among the Dutch population: a time series analysis</t>
  </si>
  <si>
    <t>de Visser 2022</t>
  </si>
  <si>
    <t>Netherlands</t>
  </si>
  <si>
    <t>The Royal Netherlands Meteorological Institute</t>
  </si>
  <si>
    <t>1°C change in temperature</t>
  </si>
  <si>
    <t>0-4</t>
  </si>
  <si>
    <t>mortality</t>
  </si>
  <si>
    <t>75–79y</t>
  </si>
  <si>
    <t>80–84y</t>
  </si>
  <si>
    <t>85–89y</t>
  </si>
  <si>
    <t>&gt;=90</t>
  </si>
  <si>
    <t>Yuxi, China</t>
  </si>
  <si>
    <t xml:space="preserve"> 1 °C decrease in temperature below the common cold threshold </t>
  </si>
  <si>
    <t>0-21</t>
  </si>
  <si>
    <t xml:space="preserve">non-accidental mortality </t>
  </si>
  <si>
    <t>Individual-level and community-level effect modifiers of the temperature-mortality relationship in 66 Chinese communities</t>
  </si>
  <si>
    <t>Zhengjing Huang, et</t>
  </si>
  <si>
    <t>China</t>
  </si>
  <si>
    <t>Mixed</t>
  </si>
  <si>
    <r>
      <t>1260913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total)</t>
    </r>
  </si>
  <si>
    <t xml:space="preserve"> China National Weather Data Sharing System</t>
  </si>
  <si>
    <t>1°C  temperature decrease below minimum mortality  (MMT)</t>
  </si>
  <si>
    <r>
      <t>death(due to all non-accidental causes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cardiovascular diseases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respiratory diseases</t>
    </r>
    <r>
      <rPr>
        <sz val="11"/>
        <rFont val="宋体"/>
        <charset val="134"/>
      </rPr>
      <t>）</t>
    </r>
  </si>
  <si>
    <t>75-84 y</t>
  </si>
  <si>
    <t>≥ 85 y</t>
  </si>
  <si>
    <t>65-79 y</t>
  </si>
  <si>
    <t>Vadu HDSS, India</t>
  </si>
  <si>
    <t>Pune, India</t>
  </si>
  <si>
    <t>Semi-arid</t>
  </si>
  <si>
    <t>Lower-middle income</t>
  </si>
  <si>
    <t>National Oceanic and Atmospheric Administration (NOAA)</t>
  </si>
  <si>
    <t>1°C decrease in winter temperature</t>
  </si>
  <si>
    <t>0-13</t>
  </si>
  <si>
    <t xml:space="preserve">mortality </t>
  </si>
  <si>
    <t>OR</t>
  </si>
  <si>
    <t>≥ 80 y</t>
  </si>
  <si>
    <t>Stockholm, Sweden</t>
  </si>
  <si>
    <t>Humid Continental</t>
  </si>
  <si>
    <t>every 1°C dencrease in minimum apparent temperature in winter</t>
  </si>
  <si>
    <t>0-1</t>
  </si>
  <si>
    <t>daily total mortality ( external causes , cardiovascular mortality , respiratory mortality  and non-cardiorespiratory deaths)</t>
  </si>
  <si>
    <t>North East</t>
  </si>
  <si>
    <t>1°C dencrease in temperature below the threshold ( 65th percentile)</t>
  </si>
  <si>
    <t>All-cause mortality</t>
  </si>
  <si>
    <t xml:space="preserve">RR </t>
  </si>
  <si>
    <t>North West</t>
  </si>
  <si>
    <t>Yorks and Hum</t>
  </si>
  <si>
    <t>East Midlands</t>
  </si>
  <si>
    <t>East England</t>
  </si>
  <si>
    <t>London, England</t>
  </si>
  <si>
    <t>London, UK</t>
  </si>
  <si>
    <t>South East</t>
  </si>
  <si>
    <t>South West</t>
  </si>
  <si>
    <t>Wales</t>
  </si>
  <si>
    <t>Lisbon, Portugal</t>
  </si>
  <si>
    <t>Per 1 °C fall</t>
  </si>
  <si>
    <t>0-31</t>
  </si>
  <si>
    <t>excess mortality</t>
  </si>
  <si>
    <t>Oporto, Portugal</t>
  </si>
  <si>
    <t>Short term effects of temperature on risk of myocardial infarction in England and Wales: time series regression analysis of the Myocardial Ischaemia National Audit Project (MINAP) registry</t>
  </si>
  <si>
    <t>Krishnan Bhaskaran</t>
  </si>
  <si>
    <t>England</t>
  </si>
  <si>
    <t>84010 (total)</t>
  </si>
  <si>
    <t>British Atmospheric Data Centre</t>
  </si>
  <si>
    <t>Per 1°C reduction in daily mean temperature</t>
  </si>
  <si>
    <t>0-28</t>
  </si>
  <si>
    <t>myocardial infarction</t>
  </si>
  <si>
    <t>circulatory system diseases morbidity</t>
  </si>
  <si>
    <t>Korea</t>
  </si>
  <si>
    <t>South Korea</t>
  </si>
  <si>
    <t>Continental Monsoon</t>
  </si>
  <si>
    <r>
      <t xml:space="preserve"> 1°C decreased below threshold(-13.5°C</t>
    </r>
    <r>
      <rPr>
        <sz val="11"/>
        <rFont val="宋体"/>
        <charset val="134"/>
      </rPr>
      <t>）</t>
    </r>
  </si>
  <si>
    <t>2-3</t>
  </si>
  <si>
    <t>AMI hospital admissons</t>
  </si>
  <si>
    <t>hospitalization</t>
  </si>
  <si>
    <t>The impact of winter cold weather on acute myocardial infarctions in Portugal</t>
  </si>
  <si>
    <t xml:space="preserve">Vasconcelos, João et al. </t>
  </si>
  <si>
    <t>Mediterranean</t>
  </si>
  <si>
    <t xml:space="preserve"> </t>
  </si>
  <si>
    <t>cross-sectional study</t>
  </si>
  <si>
    <t>National Climatic Data Center from the National Oceanic and Atmospheric Administration</t>
  </si>
  <si>
    <t>1°C decrease in human-biometeorological index during winter</t>
  </si>
  <si>
    <t>Daily hospitalizations due to AMI</t>
  </si>
  <si>
    <t>Porto, Portugal</t>
  </si>
  <si>
    <t>1 °C decrease in human-biometeorological index during winter</t>
  </si>
  <si>
    <t>Impacts of cold weather on emergency hospital admission in Texas, 2004-2013</t>
  </si>
  <si>
    <t>1 ⁰C decrease in temperature below the cold threshold</t>
  </si>
  <si>
    <t>all-cause emergency hospital admissions</t>
  </si>
  <si>
    <t>emergency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</si>
</sst>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等线"/>
      <charset val="134"/>
    </font>
    <font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right" vertical="center"/>
    </xf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 quotePrefix="1">
      <alignment horizontal="right"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668;&#20505;version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ticles"/>
      <sheetName val="Sheet1"/>
    </sheetNames>
    <sheetDataSet>
      <sheetData sheetId="0"/>
      <sheetData sheetId="1">
        <row r="1">
          <cell r="A1" t="str">
            <v>不确定的可以空着其实</v>
          </cell>
          <cell r="B1" t="str">
            <v>Standardized Location</v>
          </cell>
          <cell r="C1" t="str">
            <v>Continent</v>
          </cell>
          <cell r="D1" t="str">
            <v>Refined Climate Zone</v>
          </cell>
          <cell r="E1" t="str">
            <v>Income Level</v>
          </cell>
        </row>
        <row r="2">
          <cell r="A2" t="str">
            <v>--- China ---</v>
          </cell>
          <cell r="B2" t="str">
            <v>  </v>
          </cell>
          <cell r="C2" t="str">
            <v>  </v>
          </cell>
          <cell r="D2" t="str">
            <v>  </v>
          </cell>
          <cell r="E2" t="str">
            <v>  </v>
          </cell>
        </row>
        <row r="3">
          <cell r="A3" t="str">
            <v>China</v>
          </cell>
          <cell r="B3" t="str">
            <v>China</v>
          </cell>
          <cell r="C3" t="str">
            <v>Asia</v>
          </cell>
          <cell r="D3" t="str">
            <v>Mixed</v>
          </cell>
          <cell r="E3" t="str">
            <v>Upper-middle income</v>
          </cell>
        </row>
        <row r="4">
          <cell r="A4" t="str">
            <v>China (National)</v>
          </cell>
          <cell r="B4" t="str">
            <v>China</v>
          </cell>
          <cell r="C4" t="str">
            <v>Asia</v>
          </cell>
          <cell r="D4" t="str">
            <v>Mixed</v>
          </cell>
          <cell r="E4" t="str">
            <v>Upper-middle income</v>
          </cell>
        </row>
        <row r="5">
          <cell r="A5" t="str">
            <v>Beijing, China</v>
          </cell>
          <cell r="B5" t="str">
            <v>Beijing, China</v>
          </cell>
          <cell r="C5" t="str">
            <v>Asia</v>
          </cell>
          <cell r="D5" t="str">
            <v>Continental Monsoon</v>
          </cell>
          <cell r="E5" t="str">
            <v>Upper-middle income</v>
          </cell>
        </row>
        <row r="6">
          <cell r="A6" t="str">
            <v>Tianjin, China</v>
          </cell>
          <cell r="B6" t="str">
            <v>Tianjin, China</v>
          </cell>
          <cell r="C6" t="str">
            <v>Asia</v>
          </cell>
          <cell r="D6" t="str">
            <v>Continental Monsoon</v>
          </cell>
          <cell r="E6" t="str">
            <v>Upper-middle income</v>
          </cell>
        </row>
        <row r="7">
          <cell r="A7" t="str">
            <v>Harbin, China</v>
          </cell>
          <cell r="B7" t="str">
            <v>Harbin, China</v>
          </cell>
          <cell r="C7" t="str">
            <v>Asia</v>
          </cell>
          <cell r="D7" t="str">
            <v>Continental Monsoon</v>
          </cell>
          <cell r="E7" t="str">
            <v>Upper-middle income</v>
          </cell>
        </row>
        <row r="8">
          <cell r="A8" t="str">
            <v>Changchun, China</v>
          </cell>
          <cell r="B8" t="str">
            <v>Changchun, China</v>
          </cell>
          <cell r="C8" t="str">
            <v>Asia</v>
          </cell>
          <cell r="D8" t="str">
            <v>Continental Monsoon</v>
          </cell>
          <cell r="E8" t="str">
            <v>Upper-middle income</v>
          </cell>
        </row>
        <row r="9">
          <cell r="A9" t="str">
            <v>Jinan, China</v>
          </cell>
          <cell r="B9" t="str">
            <v>Jinan, China</v>
          </cell>
          <cell r="C9" t="str">
            <v>Asia</v>
          </cell>
          <cell r="D9" t="str">
            <v>Continental Monsoon</v>
          </cell>
          <cell r="E9" t="str">
            <v>Upper-middle income</v>
          </cell>
        </row>
        <row r="10">
          <cell r="A10" t="str">
            <v>Zibo, China</v>
          </cell>
          <cell r="B10" t="str">
            <v>Zibo, China</v>
          </cell>
          <cell r="C10" t="str">
            <v>Asia</v>
          </cell>
          <cell r="D10" t="str">
            <v>Continental Monsoon</v>
          </cell>
          <cell r="E10" t="str">
            <v>Upper-middle income</v>
          </cell>
        </row>
        <row r="11">
          <cell r="A11" t="str">
            <v>Shandong, China</v>
          </cell>
          <cell r="B11" t="str">
            <v>Shandong Province</v>
          </cell>
          <cell r="C11" t="str">
            <v>Asia</v>
          </cell>
          <cell r="D11" t="str">
            <v>Continental Monsoon</v>
          </cell>
          <cell r="E11" t="str">
            <v>Upper-middle income</v>
          </cell>
        </row>
        <row r="12">
          <cell r="A12" t="str">
            <v>Shanghai, China</v>
          </cell>
          <cell r="B12" t="str">
            <v>Shanghai, China</v>
          </cell>
          <cell r="C12" t="str">
            <v>Asia</v>
          </cell>
          <cell r="D12" t="str">
            <v>Humid Subtropical</v>
          </cell>
          <cell r="E12" t="str">
            <v>Upper-middle income</v>
          </cell>
        </row>
        <row r="13">
          <cell r="A13" t="str">
            <v>Shenzhen, China</v>
          </cell>
          <cell r="B13" t="str">
            <v>Shenzhen, China</v>
          </cell>
          <cell r="C13" t="str">
            <v>Asia</v>
          </cell>
          <cell r="D13" t="str">
            <v>Humid Subtropical</v>
          </cell>
          <cell r="E13" t="str">
            <v>Upper-middle income</v>
          </cell>
        </row>
        <row r="14">
          <cell r="A14" t="str">
            <v>Guangzhou, China</v>
          </cell>
          <cell r="B14" t="str">
            <v>Guangzhou, China</v>
          </cell>
          <cell r="C14" t="str">
            <v>Asia</v>
          </cell>
          <cell r="D14" t="str">
            <v>Humid Subtropical</v>
          </cell>
          <cell r="E14" t="str">
            <v>Upper-middle income</v>
          </cell>
        </row>
        <row r="15">
          <cell r="A15" t="str">
            <v>Hong Kong, China</v>
          </cell>
          <cell r="B15" t="str">
            <v>Hong Kong, China</v>
          </cell>
          <cell r="C15" t="str">
            <v>Asia</v>
          </cell>
          <cell r="D15" t="str">
            <v>Humid Subtropical</v>
          </cell>
          <cell r="E15" t="str">
            <v>High income</v>
          </cell>
        </row>
        <row r="16">
          <cell r="A16" t="str">
            <v>Nanjing, China</v>
          </cell>
          <cell r="B16" t="str">
            <v>Nanjing, China</v>
          </cell>
          <cell r="C16" t="str">
            <v>Asia</v>
          </cell>
          <cell r="D16" t="str">
            <v>Humid Subtropical</v>
          </cell>
          <cell r="E16" t="str">
            <v>Upper-middle income</v>
          </cell>
        </row>
        <row r="17">
          <cell r="A17" t="str">
            <v>Suzhou, China</v>
          </cell>
          <cell r="B17" t="str">
            <v>Suzhou, China</v>
          </cell>
          <cell r="C17" t="str">
            <v>Asia</v>
          </cell>
          <cell r="D17" t="str">
            <v>Humid Subtropical</v>
          </cell>
          <cell r="E17" t="str">
            <v>Upper-middle income</v>
          </cell>
        </row>
        <row r="18">
          <cell r="A18" t="str">
            <v>Hefei, China</v>
          </cell>
          <cell r="B18" t="str">
            <v>Hefei, China</v>
          </cell>
          <cell r="C18" t="str">
            <v>Asia</v>
          </cell>
          <cell r="D18" t="str">
            <v>Humid Subtropical</v>
          </cell>
          <cell r="E18" t="str">
            <v>Upper-middle income</v>
          </cell>
        </row>
        <row r="19">
          <cell r="A19" t="str">
            <v>Wuxi,China</v>
          </cell>
          <cell r="B19" t="str">
            <v>Wuxi, China</v>
          </cell>
          <cell r="C19" t="str">
            <v>Asia</v>
          </cell>
          <cell r="D19" t="str">
            <v>Humid Subtropical</v>
          </cell>
          <cell r="E19" t="str">
            <v>Upper-middle income</v>
          </cell>
        </row>
        <row r="20">
          <cell r="A20" t="str">
            <v>Yancheng, China</v>
          </cell>
          <cell r="B20" t="str">
            <v>Yancheng, China</v>
          </cell>
          <cell r="C20" t="str">
            <v>Asia</v>
          </cell>
          <cell r="D20" t="str">
            <v>Humid Subtropical</v>
          </cell>
          <cell r="E20" t="str">
            <v>Upper-middle income</v>
          </cell>
        </row>
        <row r="21">
          <cell r="A21" t="str">
            <v>Ningbo, China</v>
          </cell>
          <cell r="B21" t="str">
            <v>Ningbo, China</v>
          </cell>
          <cell r="C21" t="str">
            <v>Asia</v>
          </cell>
          <cell r="D21" t="str">
            <v>Humid Subtropical</v>
          </cell>
          <cell r="E21" t="str">
            <v>Upper-middle income</v>
          </cell>
        </row>
        <row r="22">
          <cell r="A22" t="str">
            <v>Jiangsu, China</v>
          </cell>
          <cell r="B22" t="str">
            <v>Jiangsu Province</v>
          </cell>
          <cell r="C22" t="str">
            <v>Asia</v>
          </cell>
          <cell r="D22" t="str">
            <v>Humid Subtropical</v>
          </cell>
          <cell r="E22" t="str">
            <v>Upper-middle income</v>
          </cell>
        </row>
        <row r="23">
          <cell r="A23" t="str">
            <v>Yuxi, China</v>
          </cell>
          <cell r="B23" t="str">
            <v>Yuxi, China</v>
          </cell>
          <cell r="C23" t="str">
            <v>Asia</v>
          </cell>
          <cell r="D23" t="str">
            <v>Humid Subtropical</v>
          </cell>
          <cell r="E23" t="str">
            <v>Upper-middle income</v>
          </cell>
        </row>
        <row r="24">
          <cell r="A24" t="str">
            <v>Guiyang, China</v>
          </cell>
          <cell r="B24" t="str">
            <v>Guiyang, China</v>
          </cell>
          <cell r="C24" t="str">
            <v>Asia</v>
          </cell>
          <cell r="D24" t="str">
            <v>Humid Subtropical</v>
          </cell>
          <cell r="E24" t="str">
            <v>Upper-middle income</v>
          </cell>
        </row>
        <row r="25">
          <cell r="A25" t="str">
            <v>Panzhihua, China</v>
          </cell>
          <cell r="B25" t="str">
            <v>Panzhihua, China</v>
          </cell>
          <cell r="C25" t="str">
            <v>Asia</v>
          </cell>
          <cell r="D25" t="str">
            <v>Humid Subtropical</v>
          </cell>
          <cell r="E25" t="str">
            <v>Upper-middle income</v>
          </cell>
        </row>
        <row r="26">
          <cell r="A26" t="str">
            <v>Lanzhou, China</v>
          </cell>
          <cell r="B26" t="str">
            <v>Lanzhou, China</v>
          </cell>
          <cell r="C26" t="str">
            <v>Asia</v>
          </cell>
          <cell r="D26" t="str">
            <v>Semi-arid</v>
          </cell>
          <cell r="E26" t="str">
            <v>Upper-middle income</v>
          </cell>
        </row>
        <row r="27">
          <cell r="A27" t="str">
            <v>Zhangye, China</v>
          </cell>
          <cell r="B27" t="str">
            <v>Zhangye, China</v>
          </cell>
          <cell r="C27" t="str">
            <v>Asia</v>
          </cell>
          <cell r="D27" t="str">
            <v>Arid</v>
          </cell>
          <cell r="E27" t="str">
            <v>Upper-middle income</v>
          </cell>
        </row>
        <row r="28">
          <cell r="A28" t="str">
            <v>Jiuquan, China</v>
          </cell>
          <cell r="B28" t="str">
            <v>Jiuquan, China</v>
          </cell>
          <cell r="C28" t="str">
            <v>Asia</v>
          </cell>
          <cell r="D28" t="str">
            <v>Arid</v>
          </cell>
          <cell r="E28" t="str">
            <v>Upper-middle income</v>
          </cell>
        </row>
        <row r="29">
          <cell r="A29" t="str">
            <v>Wuwei, China</v>
          </cell>
          <cell r="B29" t="str">
            <v>Wuwei, China</v>
          </cell>
          <cell r="C29" t="str">
            <v>Asia</v>
          </cell>
          <cell r="D29" t="str">
            <v>Arid</v>
          </cell>
          <cell r="E29" t="str">
            <v>Upper-middle income</v>
          </cell>
        </row>
        <row r="30">
          <cell r="A30" t="str">
            <v>Longnan, China</v>
          </cell>
          <cell r="B30" t="str">
            <v>Longnan, China</v>
          </cell>
          <cell r="C30" t="str">
            <v>Asia</v>
          </cell>
          <cell r="D30" t="str">
            <v>Humid Subtropical</v>
          </cell>
          <cell r="E30" t="str">
            <v>Upper-middle income</v>
          </cell>
        </row>
        <row r="31">
          <cell r="A31" t="str">
            <v>Chengguan</v>
          </cell>
          <cell r="B31" t="str">
            <v>Lhasa, China</v>
          </cell>
          <cell r="C31" t="str">
            <v>Asia</v>
          </cell>
          <cell r="D31" t="str">
            <v>Continental Monsoon</v>
          </cell>
          <cell r="E31" t="str">
            <v>Upper-middle income</v>
          </cell>
        </row>
        <row r="32">
          <cell r="A32" t="str">
            <v>Naidong</v>
          </cell>
          <cell r="B32" t="str">
            <v>Tibet, China</v>
          </cell>
          <cell r="C32" t="str">
            <v>Asia</v>
          </cell>
          <cell r="D32" t="str">
            <v>Continental Monsoon</v>
          </cell>
          <cell r="E32" t="str">
            <v>Upper-middle income</v>
          </cell>
        </row>
        <row r="33">
          <cell r="A33" t="str">
            <v>Jiangzi</v>
          </cell>
          <cell r="B33" t="str">
            <v>Tibet, China</v>
          </cell>
          <cell r="C33" t="str">
            <v>Asia</v>
          </cell>
          <cell r="D33" t="str">
            <v>Continental Monsoon</v>
          </cell>
          <cell r="E33" t="str">
            <v>Upper-middle income</v>
          </cell>
        </row>
        <row r="34">
          <cell r="A34" t="str">
            <v>Taiwan, China</v>
          </cell>
          <cell r="B34" t="str">
            <v>Taiwan, China</v>
          </cell>
          <cell r="C34" t="str">
            <v>Asia</v>
          </cell>
          <cell r="D34" t="str">
            <v>Humid Subtropical</v>
          </cell>
          <cell r="E34" t="str">
            <v>Upper-middle income</v>
          </cell>
        </row>
        <row r="35">
          <cell r="A35" t="str">
            <v>--- Korea ---</v>
          </cell>
          <cell r="B35" t="str">
            <v>  </v>
          </cell>
          <cell r="C35" t="str">
            <v>  </v>
          </cell>
          <cell r="D35" t="str">
            <v>  </v>
          </cell>
          <cell r="E35" t="str">
            <v>  </v>
          </cell>
        </row>
        <row r="36">
          <cell r="A36" t="str">
            <v>Korea</v>
          </cell>
          <cell r="B36" t="str">
            <v>South Korea</v>
          </cell>
          <cell r="C36" t="str">
            <v>Asia</v>
          </cell>
          <cell r="D36" t="str">
            <v>Continental Monsoon</v>
          </cell>
          <cell r="E36" t="str">
            <v>High income</v>
          </cell>
        </row>
        <row r="37">
          <cell r="A37" t="str">
            <v>South Korea</v>
          </cell>
          <cell r="B37" t="str">
            <v>South Korea</v>
          </cell>
          <cell r="C37" t="str">
            <v>Asia</v>
          </cell>
          <cell r="D37" t="str">
            <v>Continental Monsoon</v>
          </cell>
          <cell r="E37" t="str">
            <v>High income</v>
          </cell>
        </row>
        <row r="38">
          <cell r="A38" t="str">
            <v>Seoul, Korea</v>
          </cell>
          <cell r="B38" t="str">
            <v>Seoul, South Korea</v>
          </cell>
          <cell r="C38" t="str">
            <v>Asia</v>
          </cell>
          <cell r="D38" t="str">
            <v>Continental Monsoon</v>
          </cell>
          <cell r="E38" t="str">
            <v>High income</v>
          </cell>
        </row>
        <row r="39">
          <cell r="A39" t="str">
            <v>Incheon</v>
          </cell>
          <cell r="B39" t="str">
            <v>Incheon, South Korea</v>
          </cell>
          <cell r="C39" t="str">
            <v>Asia</v>
          </cell>
          <cell r="D39" t="str">
            <v>Continental Monsoon</v>
          </cell>
          <cell r="E39" t="str">
            <v>High income</v>
          </cell>
        </row>
        <row r="40">
          <cell r="A40" t="str">
            <v>Daegu</v>
          </cell>
          <cell r="B40" t="str">
            <v>Daegu, South Korea</v>
          </cell>
          <cell r="C40" t="str">
            <v>Asia</v>
          </cell>
          <cell r="D40" t="str">
            <v>Humid Subtropical</v>
          </cell>
          <cell r="E40" t="str">
            <v>High income</v>
          </cell>
        </row>
        <row r="41">
          <cell r="A41" t="str">
            <v>Busan</v>
          </cell>
          <cell r="B41" t="str">
            <v>Busan, South Korea</v>
          </cell>
          <cell r="C41" t="str">
            <v>Asia</v>
          </cell>
          <cell r="D41" t="str">
            <v>Humid Subtropical</v>
          </cell>
          <cell r="E41" t="str">
            <v>High income</v>
          </cell>
        </row>
        <row r="42">
          <cell r="A42" t="str">
            <v>--- Other Asia ---</v>
          </cell>
          <cell r="B42" t="str">
            <v>  </v>
          </cell>
          <cell r="C42" t="str">
            <v>  </v>
          </cell>
          <cell r="D42" t="str">
            <v>  </v>
          </cell>
          <cell r="E42" t="str">
            <v>  </v>
          </cell>
        </row>
        <row r="43">
          <cell r="A43" t="str">
            <v>Japan</v>
          </cell>
          <cell r="B43" t="str">
            <v>Japan</v>
          </cell>
          <cell r="C43" t="str">
            <v>Asia</v>
          </cell>
          <cell r="D43" t="str">
            <v>Humid Subtropical</v>
          </cell>
          <cell r="E43" t="str">
            <v>High income</v>
          </cell>
        </row>
        <row r="44">
          <cell r="A44" t="str">
            <v>Okayama, Japan</v>
          </cell>
          <cell r="B44" t="str">
            <v>Okayama, Japan</v>
          </cell>
          <cell r="C44" t="str">
            <v>Asia</v>
          </cell>
          <cell r="D44" t="str">
            <v>Humid Subtropical</v>
          </cell>
          <cell r="E44" t="str">
            <v>High income</v>
          </cell>
        </row>
        <row r="45">
          <cell r="A45" t="str">
            <v>Fukuoka, Japan</v>
          </cell>
          <cell r="B45" t="str">
            <v>Fukuoka, Japan</v>
          </cell>
          <cell r="C45" t="str">
            <v>Asia</v>
          </cell>
          <cell r="D45" t="str">
            <v>Humid Subtropical</v>
          </cell>
          <cell r="E45" t="str">
            <v>High income</v>
          </cell>
        </row>
        <row r="46">
          <cell r="A46" t="str">
            <v>Tehran, Iran</v>
          </cell>
          <cell r="B46" t="str">
            <v>Tehran, Iran</v>
          </cell>
          <cell r="C46" t="str">
            <v>Asia</v>
          </cell>
          <cell r="D46" t="str">
            <v>Semi-arid</v>
          </cell>
          <cell r="E46" t="str">
            <v>Upper-middle income</v>
          </cell>
        </row>
        <row r="47">
          <cell r="A47" t="str">
            <v>Rasht, Iran</v>
          </cell>
          <cell r="B47" t="str">
            <v>Rasht, Iran</v>
          </cell>
          <cell r="C47" t="str">
            <v>Asia</v>
          </cell>
          <cell r="D47" t="str">
            <v>Humid Subtropical</v>
          </cell>
          <cell r="E47" t="str">
            <v>Upper-middle income</v>
          </cell>
        </row>
        <row r="48">
          <cell r="A48" t="str">
            <v>Khorasan, Iran</v>
          </cell>
          <cell r="B48" t="str">
            <v>Khorasan, Iran</v>
          </cell>
          <cell r="C48" t="str">
            <v>Asia</v>
          </cell>
          <cell r="D48" t="str">
            <v>Semi-arid</v>
          </cell>
          <cell r="E48" t="str">
            <v>Upper-middle income</v>
          </cell>
        </row>
        <row r="49">
          <cell r="A49" t="str">
            <v>Iran</v>
          </cell>
          <cell r="B49" t="str">
            <v>Iran</v>
          </cell>
          <cell r="C49" t="str">
            <v>Asia</v>
          </cell>
          <cell r="D49" t="str">
            <v>Arid</v>
          </cell>
          <cell r="E49" t="str">
            <v>Upper-middle income</v>
          </cell>
        </row>
        <row r="50">
          <cell r="A50" t="str">
            <v>Kuwait</v>
          </cell>
          <cell r="B50" t="str">
            <v>Kuwait</v>
          </cell>
          <cell r="C50" t="str">
            <v>Asia</v>
          </cell>
          <cell r="D50" t="str">
            <v>Arid</v>
          </cell>
          <cell r="E50" t="str">
            <v>High income</v>
          </cell>
        </row>
        <row r="51">
          <cell r="A51" t="str">
            <v>Israel</v>
          </cell>
          <cell r="B51" t="str">
            <v>Israel</v>
          </cell>
          <cell r="C51" t="str">
            <v>Asia</v>
          </cell>
          <cell r="D51" t="str">
            <v>Mediterranean</v>
          </cell>
          <cell r="E51" t="str">
            <v>High income</v>
          </cell>
        </row>
        <row r="52">
          <cell r="A52" t="str">
            <v>Istanbul, Turkey</v>
          </cell>
          <cell r="B52" t="str">
            <v>Istanbul, Turkey</v>
          </cell>
          <cell r="C52" t="str">
            <v>Asia</v>
          </cell>
          <cell r="D52" t="str">
            <v>Mediterranean</v>
          </cell>
          <cell r="E52" t="str">
            <v>Upper-middle income</v>
          </cell>
        </row>
        <row r="53">
          <cell r="A53" t="str">
            <v>Beirut, Mediterranean</v>
          </cell>
          <cell r="B53" t="str">
            <v>Beirut, Lebanon</v>
          </cell>
          <cell r="C53" t="str">
            <v>Asia</v>
          </cell>
          <cell r="D53" t="str">
            <v>Mediterranean</v>
          </cell>
          <cell r="E53" t="str">
            <v>Lower-middle income</v>
          </cell>
        </row>
        <row r="54">
          <cell r="A54" t="str">
            <v>Hanoi, Vietnam</v>
          </cell>
          <cell r="B54" t="str">
            <v>Hanoi, Vietnam</v>
          </cell>
          <cell r="C54" t="str">
            <v>Asia</v>
          </cell>
          <cell r="D54" t="str">
            <v>Humid Subtropical</v>
          </cell>
          <cell r="E54" t="str">
            <v>Lower-middle income</v>
          </cell>
        </row>
        <row r="55">
          <cell r="A55" t="str">
            <v>Ho Chi Minh City, Vietnam</v>
          </cell>
          <cell r="B55" t="str">
            <v>Ho Chi Minh City</v>
          </cell>
          <cell r="C55" t="str">
            <v>Asia</v>
          </cell>
          <cell r="D55" t="str">
            <v>Tropical</v>
          </cell>
          <cell r="E55" t="str">
            <v>Lower-middle income</v>
          </cell>
        </row>
        <row r="56">
          <cell r="A56" t="str">
            <v>Chiang Mai, Thailand</v>
          </cell>
          <cell r="B56" t="str">
            <v>Chiang Mai, Thailand</v>
          </cell>
          <cell r="C56" t="str">
            <v>Asia</v>
          </cell>
          <cell r="D56" t="str">
            <v>Tropical</v>
          </cell>
          <cell r="E56" t="str">
            <v>Upper-middle income</v>
          </cell>
        </row>
        <row r="57">
          <cell r="A57" t="str">
            <v>Vadu HDSS, India</v>
          </cell>
          <cell r="B57" t="str">
            <v>Pune, India</v>
          </cell>
          <cell r="C57" t="str">
            <v>Asia</v>
          </cell>
          <cell r="D57" t="str">
            <v>Semi-arid</v>
          </cell>
          <cell r="E57" t="str">
            <v>Lower-middle income</v>
          </cell>
        </row>
        <row r="58">
          <cell r="A58" t="str">
            <v>Varanasi, India</v>
          </cell>
          <cell r="B58" t="str">
            <v>Varanasi, India</v>
          </cell>
          <cell r="C58" t="str">
            <v>Asia</v>
          </cell>
          <cell r="D58" t="str">
            <v>Humid Subtropical</v>
          </cell>
          <cell r="E58" t="str">
            <v>Lower-middle income</v>
          </cell>
        </row>
        <row r="59">
          <cell r="A59" t="str">
            <v>Bangladesh, Matlab</v>
          </cell>
          <cell r="B59" t="str">
            <v>Matlab, Bangladesh</v>
          </cell>
          <cell r="C59" t="str">
            <v>Asia</v>
          </cell>
          <cell r="D59" t="str">
            <v>Tropical</v>
          </cell>
          <cell r="E59" t="str">
            <v>Lower-middle income</v>
          </cell>
        </row>
        <row r="60">
          <cell r="A60" t="str">
            <v>Yakutsk, Russia</v>
          </cell>
          <cell r="B60" t="str">
            <v>Yakutsk, Russia</v>
          </cell>
          <cell r="C60" t="str">
            <v>Asia</v>
          </cell>
          <cell r="D60" t="str">
            <v>Humid Continental</v>
          </cell>
          <cell r="E60" t="str">
            <v>Upper-middle income</v>
          </cell>
        </row>
        <row r="61">
          <cell r="A61" t="str">
            <v>--- Europe ---</v>
          </cell>
          <cell r="B61" t="str">
            <v>  </v>
          </cell>
          <cell r="C61" t="str">
            <v>  </v>
          </cell>
          <cell r="D61" t="str">
            <v>  </v>
          </cell>
          <cell r="E61" t="str">
            <v>  </v>
          </cell>
        </row>
        <row r="62">
          <cell r="A62" t="str">
            <v>London, England</v>
          </cell>
          <cell r="B62" t="str">
            <v>London, UK</v>
          </cell>
          <cell r="C62" t="str">
            <v>Europe</v>
          </cell>
          <cell r="D62" t="str">
            <v>Oceanic</v>
          </cell>
          <cell r="E62" t="str">
            <v>High income</v>
          </cell>
        </row>
        <row r="63">
          <cell r="A63" t="str">
            <v>England</v>
          </cell>
          <cell r="B63" t="str">
            <v>UK</v>
          </cell>
          <cell r="C63" t="str">
            <v>Europe</v>
          </cell>
          <cell r="D63" t="str">
            <v>Oceanic</v>
          </cell>
          <cell r="E63" t="str">
            <v>High income</v>
          </cell>
        </row>
        <row r="64">
          <cell r="A64" t="str">
            <v>England and Wales</v>
          </cell>
          <cell r="B64" t="str">
            <v>UK</v>
          </cell>
          <cell r="C64" t="str">
            <v>Europe</v>
          </cell>
          <cell r="D64" t="str">
            <v>Oceanic</v>
          </cell>
          <cell r="E64" t="str">
            <v>High income</v>
          </cell>
        </row>
        <row r="65">
          <cell r="A65" t="str">
            <v>West Midlands</v>
          </cell>
          <cell r="B65" t="str">
            <v>UK</v>
          </cell>
          <cell r="C65" t="str">
            <v>Europe</v>
          </cell>
          <cell r="D65" t="str">
            <v>Oceanic</v>
          </cell>
          <cell r="E65" t="str">
            <v>High income</v>
          </cell>
        </row>
        <row r="66">
          <cell r="A66" t="str">
            <v>Stockholm, Sweden</v>
          </cell>
          <cell r="B66" t="str">
            <v>Stockholm, Sweden</v>
          </cell>
          <cell r="C66" t="str">
            <v>Europe</v>
          </cell>
          <cell r="D66" t="str">
            <v>Humid Continental</v>
          </cell>
          <cell r="E66" t="str">
            <v>High income</v>
          </cell>
        </row>
        <row r="67">
          <cell r="A67" t="str">
            <v>Helsinki, Finland</v>
          </cell>
          <cell r="B67" t="str">
            <v>Helsinki, Finland</v>
          </cell>
          <cell r="C67" t="str">
            <v>Europe</v>
          </cell>
          <cell r="D67" t="str">
            <v>Humid Continental</v>
          </cell>
          <cell r="E67" t="str">
            <v>High income</v>
          </cell>
        </row>
        <row r="68">
          <cell r="A68" t="str">
            <v>Oulu, Finland</v>
          </cell>
          <cell r="B68" t="str">
            <v>Oulu, Finland</v>
          </cell>
          <cell r="C68" t="str">
            <v>Europe</v>
          </cell>
          <cell r="D68" t="str">
            <v>Humid Continental</v>
          </cell>
          <cell r="E68" t="str">
            <v>High income</v>
          </cell>
        </row>
        <row r="69">
          <cell r="A69" t="str">
            <v>Rome, Italy</v>
          </cell>
          <cell r="B69" t="str">
            <v>Rome, Italy</v>
          </cell>
          <cell r="C69" t="str">
            <v>Europe</v>
          </cell>
          <cell r="D69" t="str">
            <v>Mediterranean</v>
          </cell>
          <cell r="E69" t="str">
            <v>High income</v>
          </cell>
        </row>
        <row r="70">
          <cell r="A70" t="str">
            <v>Milan</v>
          </cell>
          <cell r="B70" t="str">
            <v>Milan, Italy</v>
          </cell>
          <cell r="C70" t="str">
            <v>Europe</v>
          </cell>
          <cell r="D70" t="str">
            <v>Humid Subtropical</v>
          </cell>
          <cell r="E70" t="str">
            <v>High income</v>
          </cell>
        </row>
        <row r="71">
          <cell r="A71" t="str">
            <v>Turin, Italy</v>
          </cell>
          <cell r="B71" t="str">
            <v>Turin, Italy</v>
          </cell>
          <cell r="C71" t="str">
            <v>Europe</v>
          </cell>
          <cell r="D71" t="str">
            <v>Humid Subtropical</v>
          </cell>
          <cell r="E71" t="str">
            <v>High income</v>
          </cell>
        </row>
        <row r="72">
          <cell r="A72" t="str">
            <v>Italy</v>
          </cell>
          <cell r="B72" t="str">
            <v>Italy</v>
          </cell>
          <cell r="C72" t="str">
            <v>Europe</v>
          </cell>
          <cell r="D72" t="str">
            <v>Mediterranean</v>
          </cell>
          <cell r="E72" t="str">
            <v>High income</v>
          </cell>
        </row>
        <row r="73">
          <cell r="A73" t="str">
            <v>Barcelona, Spain</v>
          </cell>
          <cell r="B73" t="str">
            <v>Barcelona, Spain</v>
          </cell>
          <cell r="C73" t="str">
            <v>Europe</v>
          </cell>
          <cell r="D73" t="str">
            <v>Mediterranean</v>
          </cell>
          <cell r="E73" t="str">
            <v>High income</v>
          </cell>
        </row>
        <row r="74">
          <cell r="A74" t="str">
            <v>Valencia</v>
          </cell>
          <cell r="B74" t="str">
            <v>Valencia, Spain</v>
          </cell>
          <cell r="C74" t="str">
            <v>Europe</v>
          </cell>
          <cell r="D74" t="str">
            <v>Mediterranean</v>
          </cell>
          <cell r="E74" t="str">
            <v>High income</v>
          </cell>
        </row>
        <row r="75">
          <cell r="A75" t="str">
            <v>Spain</v>
          </cell>
          <cell r="B75" t="str">
            <v>Spain</v>
          </cell>
          <cell r="C75" t="str">
            <v>Europe</v>
          </cell>
          <cell r="D75" t="str">
            <v>Mediterranean</v>
          </cell>
          <cell r="E75" t="str">
            <v>High income</v>
          </cell>
        </row>
        <row r="76">
          <cell r="A76" t="str">
            <v>Spain and the Balearic Islands</v>
          </cell>
          <cell r="B76" t="str">
            <v>Spain</v>
          </cell>
          <cell r="C76" t="str">
            <v>Europe</v>
          </cell>
          <cell r="D76" t="str">
            <v>Mediterranean</v>
          </cell>
          <cell r="E76" t="str">
            <v>High income</v>
          </cell>
        </row>
        <row r="77">
          <cell r="A77" t="str">
            <v>Lisbon, Portugal</v>
          </cell>
          <cell r="B77" t="str">
            <v>Lisbon, Portugal</v>
          </cell>
          <cell r="C77" t="str">
            <v>Europe</v>
          </cell>
          <cell r="D77" t="str">
            <v>Mediterranean</v>
          </cell>
          <cell r="E77" t="str">
            <v>High income</v>
          </cell>
        </row>
        <row r="78">
          <cell r="A78" t="str">
            <v>Oporto, Portugal</v>
          </cell>
          <cell r="B78" t="str">
            <v>Porto, Portugal</v>
          </cell>
          <cell r="C78" t="str">
            <v>Europe</v>
          </cell>
          <cell r="D78" t="str">
            <v>Mediterranean</v>
          </cell>
          <cell r="E78" t="str">
            <v>High income</v>
          </cell>
        </row>
        <row r="79">
          <cell r="A79" t="str">
            <v>Zurich</v>
          </cell>
          <cell r="B79" t="str">
            <v>Switzerland</v>
          </cell>
          <cell r="C79" t="str">
            <v>Europe</v>
          </cell>
          <cell r="D79" t="str">
            <v>Oceanic</v>
          </cell>
          <cell r="E79" t="str">
            <v>High income</v>
          </cell>
        </row>
        <row r="80">
          <cell r="A80" t="str">
            <v>Bern, Switzerland</v>
          </cell>
          <cell r="B80" t="str">
            <v>Switzerland</v>
          </cell>
          <cell r="C80" t="str">
            <v>Europe</v>
          </cell>
          <cell r="D80" t="str">
            <v>Oceanic</v>
          </cell>
          <cell r="E80" t="str">
            <v>High income</v>
          </cell>
        </row>
        <row r="81">
          <cell r="A81" t="str">
            <v>Netherlands</v>
          </cell>
          <cell r="B81" t="str">
            <v>Netherlands</v>
          </cell>
          <cell r="C81" t="str">
            <v>Europe</v>
          </cell>
          <cell r="D81" t="str">
            <v>Oceanic</v>
          </cell>
          <cell r="E81" t="str">
            <v>High income</v>
          </cell>
        </row>
        <row r="82">
          <cell r="A82" t="str">
            <v>Belgium</v>
          </cell>
          <cell r="B82" t="str">
            <v>Belgium</v>
          </cell>
          <cell r="C82" t="str">
            <v>Europe</v>
          </cell>
          <cell r="D82" t="str">
            <v>Oceanic</v>
          </cell>
          <cell r="E82" t="str">
            <v>High income</v>
          </cell>
        </row>
        <row r="83">
          <cell r="A83" t="str">
            <v>Flanders, northern Belgium</v>
          </cell>
          <cell r="B83" t="str">
            <v>Belgium</v>
          </cell>
          <cell r="C83" t="str">
            <v>Europe</v>
          </cell>
          <cell r="D83" t="str">
            <v>Oceanic</v>
          </cell>
          <cell r="E83" t="str">
            <v>High income</v>
          </cell>
        </row>
        <row r="84">
          <cell r="A84" t="str">
            <v>Augsburg, Germany</v>
          </cell>
          <cell r="B84" t="str">
            <v>Augsburg, Germany</v>
          </cell>
          <cell r="C84" t="str">
            <v>Europe</v>
          </cell>
          <cell r="D84" t="str">
            <v>Oceanic</v>
          </cell>
          <cell r="E84" t="str">
            <v>High income</v>
          </cell>
        </row>
        <row r="85">
          <cell r="A85" t="str">
            <v>Budapest</v>
          </cell>
          <cell r="B85" t="str">
            <v>Budapest, Hungary</v>
          </cell>
          <cell r="C85" t="str">
            <v>Europe</v>
          </cell>
          <cell r="D85" t="str">
            <v>Humid Continental</v>
          </cell>
          <cell r="E85" t="str">
            <v>High income</v>
          </cell>
        </row>
        <row r="86">
          <cell r="A86" t="str">
            <v>Dublin</v>
          </cell>
          <cell r="B86" t="str">
            <v>Dublin, Ireland</v>
          </cell>
          <cell r="C86" t="str">
            <v>Europe</v>
          </cell>
          <cell r="D86" t="str">
            <v>Oceanic</v>
          </cell>
          <cell r="E86" t="str">
            <v>High income</v>
          </cell>
        </row>
        <row r="87">
          <cell r="A87" t="str">
            <v>Czechia</v>
          </cell>
          <cell r="B87" t="str">
            <v>Czech Republic</v>
          </cell>
          <cell r="C87" t="str">
            <v>Europe</v>
          </cell>
          <cell r="D87" t="str">
            <v>Humid Continental</v>
          </cell>
          <cell r="E87" t="str">
            <v>High income</v>
          </cell>
        </row>
        <row r="88">
          <cell r="A88" t="str">
            <v>Lithuania</v>
          </cell>
          <cell r="B88" t="str">
            <v>Lithuania</v>
          </cell>
          <cell r="C88" t="str">
            <v>Europe</v>
          </cell>
          <cell r="D88" t="str">
            <v>Humid Continental</v>
          </cell>
          <cell r="E88" t="str">
            <v>High income</v>
          </cell>
        </row>
        <row r="89">
          <cell r="A89" t="str">
            <v>--- North America ---</v>
          </cell>
          <cell r="B89" t="str">
            <v>  </v>
          </cell>
          <cell r="C89" t="str">
            <v>  </v>
          </cell>
          <cell r="D89" t="str">
            <v>  </v>
          </cell>
          <cell r="E89" t="str">
            <v>  </v>
          </cell>
        </row>
        <row r="90">
          <cell r="A90" t="str">
            <v>New York, USA</v>
          </cell>
          <cell r="B90" t="str">
            <v>New York, USA</v>
          </cell>
          <cell r="C90" t="str">
            <v>North America</v>
          </cell>
          <cell r="D90" t="str">
            <v>Humid Continental</v>
          </cell>
          <cell r="E90" t="str">
            <v>High income</v>
          </cell>
        </row>
        <row r="91">
          <cell r="A91" t="str">
            <v>Washington, USA</v>
          </cell>
          <cell r="B91" t="str">
            <v>Washington DC, USA</v>
          </cell>
          <cell r="C91" t="str">
            <v>North America</v>
          </cell>
          <cell r="D91" t="str">
            <v>Humid Subtropical</v>
          </cell>
          <cell r="E91" t="str">
            <v>High income</v>
          </cell>
        </row>
        <row r="92">
          <cell r="A92" t="str">
            <v>Pennsylvania, USA</v>
          </cell>
          <cell r="B92" t="str">
            <v>Pennsylvania, USA</v>
          </cell>
          <cell r="C92" t="str">
            <v>North America</v>
          </cell>
          <cell r="D92" t="str">
            <v>Humid Continental</v>
          </cell>
          <cell r="E92" t="str">
            <v>High income</v>
          </cell>
        </row>
        <row r="93">
          <cell r="A93" t="str">
            <v>Maryland, USA</v>
          </cell>
          <cell r="B93" t="str">
            <v>Maryland, USA</v>
          </cell>
          <cell r="C93" t="str">
            <v>North America</v>
          </cell>
          <cell r="D93" t="str">
            <v>Humid Subtropical</v>
          </cell>
          <cell r="E93" t="str">
            <v>High income</v>
          </cell>
        </row>
        <row r="94">
          <cell r="A94" t="str">
            <v>Texas, USA</v>
          </cell>
          <cell r="B94" t="str">
            <v>Texas, USA</v>
          </cell>
          <cell r="C94" t="str">
            <v>North America</v>
          </cell>
          <cell r="D94" t="str">
            <v>Humid Subtropical</v>
          </cell>
          <cell r="E94" t="str">
            <v>High income</v>
          </cell>
        </row>
        <row r="95">
          <cell r="A95" t="str">
            <v>Arizona desert, USA</v>
          </cell>
          <cell r="B95" t="str">
            <v>Arizona, USA</v>
          </cell>
          <cell r="C95" t="str">
            <v>North America</v>
          </cell>
          <cell r="D95" t="str">
            <v>Arid</v>
          </cell>
          <cell r="E95" t="str">
            <v>High income</v>
          </cell>
        </row>
        <row r="96">
          <cell r="A96" t="str">
            <v>North Carolina, USA</v>
          </cell>
          <cell r="B96" t="str">
            <v>North Carolina, USA</v>
          </cell>
          <cell r="C96" t="str">
            <v>North America</v>
          </cell>
          <cell r="D96" t="str">
            <v>Humid Subtropical</v>
          </cell>
          <cell r="E96" t="str">
            <v>High income</v>
          </cell>
        </row>
        <row r="97">
          <cell r="A97" t="str">
            <v>Los Angels, USA</v>
          </cell>
          <cell r="B97" t="str">
            <v>Los Angeles, USA</v>
          </cell>
          <cell r="C97" t="str">
            <v>North America</v>
          </cell>
          <cell r="D97" t="str">
            <v>Mediterranean</v>
          </cell>
          <cell r="E97" t="str">
            <v>High income</v>
          </cell>
        </row>
        <row r="98">
          <cell r="A98" t="str">
            <v>USA</v>
          </cell>
          <cell r="B98" t="str">
            <v>USA</v>
          </cell>
          <cell r="C98" t="str">
            <v>North America</v>
          </cell>
          <cell r="D98" t="str">
            <v>Mixed</v>
          </cell>
          <cell r="E98" t="str">
            <v>High income</v>
          </cell>
        </row>
        <row r="99">
          <cell r="A99" t="str">
            <v>Ontario, Canada</v>
          </cell>
          <cell r="B99" t="str">
            <v>Ontario, Canada</v>
          </cell>
          <cell r="C99" t="str">
            <v>North America</v>
          </cell>
          <cell r="D99" t="str">
            <v>Humid Continental</v>
          </cell>
          <cell r="E99" t="str">
            <v>High income</v>
          </cell>
        </row>
        <row r="100">
          <cell r="A100" t="str">
            <v>Quebec, Canada</v>
          </cell>
          <cell r="B100" t="str">
            <v>Quebec, Canada</v>
          </cell>
          <cell r="C100" t="str">
            <v>North America</v>
          </cell>
          <cell r="D100" t="str">
            <v>Humid Continental</v>
          </cell>
          <cell r="E100" t="str">
            <v>High income</v>
          </cell>
        </row>
        <row r="101">
          <cell r="A101" t="str">
            <v>Mexico</v>
          </cell>
          <cell r="B101" t="str">
            <v>Mexico</v>
          </cell>
          <cell r="C101" t="str">
            <v>North America</v>
          </cell>
          <cell r="D101" t="str">
            <v>Mixed</v>
          </cell>
          <cell r="E101" t="str">
            <v>Upper-middle income</v>
          </cell>
        </row>
        <row r="102">
          <cell r="A102" t="str">
            <v>--- Oceania ---</v>
          </cell>
          <cell r="B102" t="str">
            <v>  </v>
          </cell>
          <cell r="C102" t="str">
            <v>  </v>
          </cell>
          <cell r="D102" t="str">
            <v>  </v>
          </cell>
          <cell r="E102" t="str">
            <v>  </v>
          </cell>
        </row>
        <row r="103">
          <cell r="A103" t="str">
            <v>Adelaide, Australia</v>
          </cell>
          <cell r="B103" t="str">
            <v>Adelaide, Australia</v>
          </cell>
          <cell r="C103" t="str">
            <v>Oceania</v>
          </cell>
          <cell r="D103" t="str">
            <v>Mediterranean</v>
          </cell>
          <cell r="E103" t="str">
            <v>High income</v>
          </cell>
        </row>
        <row r="104">
          <cell r="A104" t="str">
            <v>Perth, Australia</v>
          </cell>
          <cell r="B104" t="str">
            <v>Perth, Australia</v>
          </cell>
          <cell r="C104" t="str">
            <v>Oceania</v>
          </cell>
          <cell r="D104" t="str">
            <v>Mediterranean</v>
          </cell>
          <cell r="E104" t="str">
            <v>High income</v>
          </cell>
        </row>
        <row r="105">
          <cell r="A105" t="str">
            <v>Melbourne</v>
          </cell>
          <cell r="B105" t="str">
            <v>Melbourne, Australia</v>
          </cell>
          <cell r="C105" t="str">
            <v>Oceania</v>
          </cell>
          <cell r="D105" t="str">
            <v>Oceanic</v>
          </cell>
          <cell r="E105" t="str">
            <v>High income</v>
          </cell>
        </row>
        <row r="106">
          <cell r="A106" t="str">
            <v>Brisbane, Australia</v>
          </cell>
          <cell r="B106" t="str">
            <v>Brisbane, Australia</v>
          </cell>
          <cell r="C106" t="str">
            <v>Oceania</v>
          </cell>
          <cell r="D106" t="str">
            <v>Humid Subtropical</v>
          </cell>
          <cell r="E106" t="str">
            <v>High income</v>
          </cell>
        </row>
        <row r="107">
          <cell r="A107" t="str">
            <v>Sydney</v>
          </cell>
          <cell r="B107" t="str">
            <v>Sydney, Australia</v>
          </cell>
          <cell r="C107" t="str">
            <v>Oceania</v>
          </cell>
          <cell r="D107" t="str">
            <v>Humid Subtropical</v>
          </cell>
          <cell r="E107" t="str">
            <v>High income</v>
          </cell>
        </row>
        <row r="108">
          <cell r="A108" t="str">
            <v>Queensland, Australia</v>
          </cell>
          <cell r="B108" t="str">
            <v>Queensland, Australia</v>
          </cell>
          <cell r="C108" t="str">
            <v>Oceania</v>
          </cell>
          <cell r="D108" t="str">
            <v>Humid Subtropical</v>
          </cell>
          <cell r="E108" t="str">
            <v>High income</v>
          </cell>
        </row>
        <row r="109">
          <cell r="A109" t="str">
            <v>--- Other ---</v>
          </cell>
          <cell r="B109" t="str">
            <v>  </v>
          </cell>
          <cell r="C109" t="str">
            <v>  </v>
          </cell>
          <cell r="D109" t="str">
            <v>  </v>
          </cell>
          <cell r="E109" t="str">
            <v>  </v>
          </cell>
        </row>
        <row r="110">
          <cell r="A110" t="str">
            <v>São Paulo, Brazil</v>
          </cell>
          <cell r="B110" t="str">
            <v>São Paulo, Brazil</v>
          </cell>
          <cell r="C110" t="str">
            <v>South America</v>
          </cell>
          <cell r="D110" t="str">
            <v>Humid Subtropical</v>
          </cell>
          <cell r="E110" t="str">
            <v>Upper-middle income</v>
          </cell>
        </row>
        <row r="111">
          <cell r="A111" t="str">
            <v>Curitiba, Brazil</v>
          </cell>
          <cell r="B111" t="str">
            <v>Curitiba, Brazil</v>
          </cell>
          <cell r="C111" t="str">
            <v>South America</v>
          </cell>
          <cell r="D111" t="str">
            <v>Humid Subtropical</v>
          </cell>
          <cell r="E111" t="str">
            <v>Upper-middle income</v>
          </cell>
        </row>
        <row r="112">
          <cell r="A112" t="str">
            <v>Rio de Janeiro</v>
          </cell>
          <cell r="B112" t="str">
            <v>Rio de Janeiro</v>
          </cell>
          <cell r="C112" t="str">
            <v>South America</v>
          </cell>
          <cell r="D112" t="str">
            <v>Tropical</v>
          </cell>
          <cell r="E112" t="str">
            <v>Upper-middle income</v>
          </cell>
        </row>
        <row r="113">
          <cell r="A113" t="str">
            <v>Manaus</v>
          </cell>
          <cell r="B113" t="str">
            <v>Manaus, Brazil</v>
          </cell>
          <cell r="C113" t="str">
            <v>South America</v>
          </cell>
          <cell r="D113" t="str">
            <v>Tropical</v>
          </cell>
          <cell r="E113" t="str">
            <v>Upper-middle income</v>
          </cell>
        </row>
        <row r="114">
          <cell r="A114" t="str">
            <v>Brazil</v>
          </cell>
          <cell r="B114" t="str">
            <v>Brazil</v>
          </cell>
          <cell r="C114" t="str">
            <v>South America</v>
          </cell>
          <cell r="D114" t="str">
            <v>Tropical</v>
          </cell>
          <cell r="E114" t="str">
            <v>Upper-middle income</v>
          </cell>
        </row>
        <row r="115">
          <cell r="A115" t="str">
            <v>Santiago</v>
          </cell>
          <cell r="B115" t="str">
            <v>Santiago, Chile</v>
          </cell>
          <cell r="C115" t="str">
            <v>South America</v>
          </cell>
          <cell r="D115" t="str">
            <v>Mediterranean</v>
          </cell>
          <cell r="E115" t="str">
            <v>High income</v>
          </cell>
        </row>
        <row r="116">
          <cell r="A116" t="str">
            <v>Tunis, Tunisia</v>
          </cell>
          <cell r="B116" t="str">
            <v>Tunis, Tunisia</v>
          </cell>
          <cell r="C116" t="str">
            <v>Africa</v>
          </cell>
          <cell r="D116" t="str">
            <v>Mediterranean</v>
          </cell>
          <cell r="E116" t="str">
            <v>Lower-middle income</v>
          </cell>
        </row>
        <row r="117">
          <cell r="A117" t="str">
            <v>Northern Ghana</v>
          </cell>
          <cell r="B117" t="str">
            <v>Northern Ghana</v>
          </cell>
          <cell r="C117" t="str">
            <v>Africa</v>
          </cell>
          <cell r="D117" t="str">
            <v>Tropical</v>
          </cell>
          <cell r="E117" t="str">
            <v>Lower-middle income</v>
          </cell>
        </row>
        <row r="118">
          <cell r="A118" t="str">
            <v>Nouna area, Burkina Faso</v>
          </cell>
          <cell r="B118" t="str">
            <v>Nouna, Burkina Faso</v>
          </cell>
          <cell r="C118" t="str">
            <v>Africa</v>
          </cell>
          <cell r="D118" t="str">
            <v>Semi-arid</v>
          </cell>
          <cell r="E118" t="str">
            <v>Low income</v>
          </cell>
        </row>
        <row r="119">
          <cell r="A119" t="str">
            <v>Pooled</v>
          </cell>
          <cell r="B119" t="str">
            <v>  </v>
          </cell>
          <cell r="C119" t="str">
            <v>  </v>
          </cell>
          <cell r="D119" t="str">
            <v>  </v>
          </cell>
          <cell r="E119" t="str">
            <v>  </v>
          </cell>
        </row>
        <row r="120">
          <cell r="A120" t="str">
            <v>Urban heat island area</v>
          </cell>
          <cell r="B120" t="str">
            <v>  </v>
          </cell>
          <cell r="C120" t="str">
            <v>  </v>
          </cell>
          <cell r="D120" t="str">
            <v>  </v>
          </cell>
          <cell r="E120" t="str">
            <v>  </v>
          </cell>
        </row>
        <row r="121">
          <cell r="A121" t="str">
            <v>Non-urban heat island area</v>
          </cell>
          <cell r="B121" t="str">
            <v>  </v>
          </cell>
          <cell r="C121" t="str">
            <v>  </v>
          </cell>
          <cell r="D121" t="str">
            <v>  </v>
          </cell>
          <cell r="E121" t="str">
            <v>  </v>
          </cell>
        </row>
        <row r="122">
          <cell r="A122" t="str">
            <v>Low Greenness</v>
          </cell>
          <cell r="B122" t="str">
            <v>  </v>
          </cell>
          <cell r="C122" t="str">
            <v>  </v>
          </cell>
          <cell r="D122" t="str">
            <v>  </v>
          </cell>
          <cell r="E122" t="str">
            <v>  </v>
          </cell>
        </row>
        <row r="123">
          <cell r="A123" t="str">
            <v>High Greenness</v>
          </cell>
          <cell r="B123" t="str">
            <v>  </v>
          </cell>
          <cell r="C123" t="str">
            <v>  </v>
          </cell>
          <cell r="D123" t="str">
            <v>  </v>
          </cell>
          <cell r="E123" t="str">
            <v>  </v>
          </cell>
        </row>
        <row r="124">
          <cell r="A124" t="str">
            <v>owest quintile of SEP-Index</v>
          </cell>
          <cell r="B124" t="str">
            <v>  </v>
          </cell>
          <cell r="C124" t="str">
            <v>  </v>
          </cell>
          <cell r="D124" t="str">
            <v>  </v>
          </cell>
          <cell r="E124" t="str">
            <v>  </v>
          </cell>
        </row>
        <row r="125">
          <cell r="A125" t="str">
            <v>National climate zone</v>
          </cell>
          <cell r="B125" t="str">
            <v>  </v>
          </cell>
          <cell r="C125" t="str">
            <v>  </v>
          </cell>
          <cell r="D125" t="str">
            <v>  </v>
          </cell>
          <cell r="E125" t="str">
            <v>  </v>
          </cell>
        </row>
        <row r="126">
          <cell r="A126" t="str">
            <v>Subtropical climate zone</v>
          </cell>
          <cell r="B126" t="str">
            <v>  </v>
          </cell>
          <cell r="C126" t="str">
            <v>  </v>
          </cell>
          <cell r="D126" t="str">
            <v>Humid Subtropical</v>
          </cell>
          <cell r="E126" t="str">
            <v>  </v>
          </cell>
        </row>
        <row r="127">
          <cell r="A127" t="str">
            <v>Temperate climate zone</v>
          </cell>
          <cell r="B127" t="str">
            <v>  </v>
          </cell>
          <cell r="C127" t="str">
            <v>  </v>
          </cell>
          <cell r="D127" t="str">
            <v>Oceanic</v>
          </cell>
          <cell r="E127" t="str">
            <v>  </v>
          </cell>
        </row>
        <row r="128">
          <cell r="A128" t="str">
            <v>Multi-country</v>
          </cell>
          <cell r="B128" t="str">
            <v>  </v>
          </cell>
          <cell r="C128" t="str">
            <v>  </v>
          </cell>
          <cell r="D128" t="str">
            <v>  </v>
          </cell>
          <cell r="E128" t="str">
            <v>  </v>
          </cell>
        </row>
        <row r="129">
          <cell r="A129" t="str">
            <v>--- Europe (Regions) ---</v>
          </cell>
          <cell r="B129" t="str">
            <v>  </v>
          </cell>
          <cell r="C129" t="str">
            <v>  </v>
          </cell>
          <cell r="D129" t="str">
            <v>  </v>
          </cell>
          <cell r="E129" t="str">
            <v>  </v>
          </cell>
        </row>
        <row r="130">
          <cell r="A130" t="str">
            <v>Mediterranean</v>
          </cell>
          <cell r="B130" t="str">
            <v>Europe (South)</v>
          </cell>
          <cell r="C130" t="str">
            <v>Europe</v>
          </cell>
          <cell r="D130" t="str">
            <v>Mediterranean</v>
          </cell>
          <cell r="E130" t="str">
            <v>High income</v>
          </cell>
        </row>
        <row r="131">
          <cell r="A131" t="str">
            <v>Mediterranean Europe</v>
          </cell>
          <cell r="B131" t="str">
            <v>Europe (South)</v>
          </cell>
          <cell r="C131" t="str">
            <v>Europe</v>
          </cell>
          <cell r="D131" t="str">
            <v>Mediterranean</v>
          </cell>
          <cell r="E131" t="str">
            <v>High income</v>
          </cell>
        </row>
        <row r="132">
          <cell r="A132" t="str">
            <v>North-Continental Cities</v>
          </cell>
          <cell r="B132" t="str">
            <v>Europe (North/Central)</v>
          </cell>
          <cell r="C132" t="str">
            <v>Europe</v>
          </cell>
          <cell r="D132" t="str">
            <v>Humid Continental</v>
          </cell>
          <cell r="E132" t="str">
            <v>High income</v>
          </cell>
        </row>
        <row r="133">
          <cell r="A133" t="str">
            <v>North-Continental Europe</v>
          </cell>
          <cell r="B133" t="str">
            <v>Europe (North/Central)</v>
          </cell>
          <cell r="C133" t="str">
            <v>Europe</v>
          </cell>
          <cell r="D133" t="str">
            <v>Humid Continental</v>
          </cell>
          <cell r="E133" t="str">
            <v>High income</v>
          </cell>
        </row>
        <row r="134">
          <cell r="A134" t="str">
            <v>Lake Geneva</v>
          </cell>
          <cell r="B134" t="str">
            <v>Switzerland</v>
          </cell>
          <cell r="C134" t="str">
            <v>Europe</v>
          </cell>
          <cell r="D134" t="str">
            <v>Oceanic</v>
          </cell>
          <cell r="E134" t="str">
            <v>High income</v>
          </cell>
        </row>
        <row r="135">
          <cell r="A135" t="str">
            <v>Ticino</v>
          </cell>
          <cell r="B135" t="str">
            <v>Switzerland</v>
          </cell>
          <cell r="C135" t="str">
            <v>Europe</v>
          </cell>
          <cell r="D135" t="str">
            <v>Humid Subtropical</v>
          </cell>
          <cell r="E135" t="str">
            <v>High income</v>
          </cell>
        </row>
        <row r="136">
          <cell r="A136" t="str">
            <v>Swiss</v>
          </cell>
          <cell r="B136" t="str">
            <v>Switzerland</v>
          </cell>
          <cell r="C136" t="str">
            <v>Europe</v>
          </cell>
          <cell r="D136" t="str">
            <v>Oceanic</v>
          </cell>
          <cell r="E136" t="str">
            <v>High income</v>
          </cell>
        </row>
        <row r="137">
          <cell r="A137" t="str">
            <v>Switzerland</v>
          </cell>
          <cell r="B137" t="str">
            <v>Switzerland</v>
          </cell>
          <cell r="C137" t="str">
            <v>Europe</v>
          </cell>
          <cell r="D137" t="str">
            <v>Oceanic</v>
          </cell>
          <cell r="E137" t="str">
            <v>High income</v>
          </cell>
        </row>
        <row r="138">
          <cell r="A138" t="str">
            <v>Ljubljana</v>
          </cell>
          <cell r="B138" t="str">
            <v>Slovenia</v>
          </cell>
          <cell r="C138" t="str">
            <v>Europe</v>
          </cell>
          <cell r="D138" t="str">
            <v>Humid Continental</v>
          </cell>
          <cell r="E138" t="str">
            <v>High income</v>
          </cell>
        </row>
        <row r="139">
          <cell r="A139" t="str">
            <v>Paris</v>
          </cell>
          <cell r="B139" t="str">
            <v>France</v>
          </cell>
          <cell r="C139" t="str">
            <v>Europe</v>
          </cell>
          <cell r="D139" t="str">
            <v>Oceanic</v>
          </cell>
          <cell r="E139" t="str">
            <v>High income</v>
          </cell>
        </row>
        <row r="140">
          <cell r="A140" t="str">
            <v>Stockholm</v>
          </cell>
          <cell r="B140" t="str">
            <v>Sweden</v>
          </cell>
          <cell r="C140" t="str">
            <v>Europe</v>
          </cell>
          <cell r="D140" t="str">
            <v>Humid Continental</v>
          </cell>
          <cell r="E140" t="str">
            <v>High income</v>
          </cell>
        </row>
        <row r="141">
          <cell r="A141" t="str">
            <v>Sweden</v>
          </cell>
          <cell r="B141" t="str">
            <v>Sweden</v>
          </cell>
          <cell r="C141" t="str">
            <v>Europe</v>
          </cell>
          <cell r="D141" t="str">
            <v>Humid Continental</v>
          </cell>
          <cell r="E141" t="str">
            <v>High income</v>
          </cell>
        </row>
        <row r="142">
          <cell r="A142" t="str">
            <v>Catalonia, Spain</v>
          </cell>
          <cell r="B142" t="str">
            <v>Spain</v>
          </cell>
          <cell r="C142" t="str">
            <v>Europe</v>
          </cell>
          <cell r="D142" t="str">
            <v>Mediterranean</v>
          </cell>
          <cell r="E142" t="str">
            <v>High income</v>
          </cell>
        </row>
        <row r="143">
          <cell r="A143" t="str">
            <v>Bologna Local Health Trust, Italy</v>
          </cell>
          <cell r="B143" t="str">
            <v>Italy</v>
          </cell>
          <cell r="C143" t="str">
            <v>Europe</v>
          </cell>
          <cell r="D143" t="str">
            <v>Humid Subtropical</v>
          </cell>
          <cell r="E143" t="str">
            <v>High income</v>
          </cell>
        </row>
        <row r="144">
          <cell r="A144" t="str">
            <v>--- UK Regions ---</v>
          </cell>
          <cell r="B144" t="str">
            <v>  </v>
          </cell>
          <cell r="C144" t="str">
            <v>  </v>
          </cell>
          <cell r="D144" t="str">
            <v>  </v>
          </cell>
          <cell r="E144" t="str">
            <v>  </v>
          </cell>
        </row>
        <row r="145">
          <cell r="A145" t="str">
            <v>Midland</v>
          </cell>
          <cell r="B145" t="str">
            <v>UK</v>
          </cell>
          <cell r="C145" t="str">
            <v>Europe</v>
          </cell>
          <cell r="D145" t="str">
            <v>Oceanic</v>
          </cell>
          <cell r="E145" t="str">
            <v>High income</v>
          </cell>
        </row>
        <row r="146">
          <cell r="A146" t="str">
            <v>North East</v>
          </cell>
          <cell r="B146" t="str">
            <v>UK</v>
          </cell>
          <cell r="C146" t="str">
            <v>Europe</v>
          </cell>
          <cell r="D146" t="str">
            <v>Oceanic</v>
          </cell>
          <cell r="E146" t="str">
            <v>High income</v>
          </cell>
        </row>
        <row r="147">
          <cell r="A147" t="str">
            <v>North West</v>
          </cell>
          <cell r="B147" t="str">
            <v>UK</v>
          </cell>
          <cell r="C147" t="str">
            <v>Europe</v>
          </cell>
          <cell r="D147" t="str">
            <v>Oceanic</v>
          </cell>
          <cell r="E147" t="str">
            <v>High income</v>
          </cell>
        </row>
        <row r="148">
          <cell r="A148" t="str">
            <v>Yorks and Hum</v>
          </cell>
          <cell r="B148" t="str">
            <v>UK</v>
          </cell>
          <cell r="C148" t="str">
            <v>Europe</v>
          </cell>
          <cell r="D148" t="str">
            <v>Oceanic</v>
          </cell>
          <cell r="E148" t="str">
            <v>High income</v>
          </cell>
        </row>
        <row r="149">
          <cell r="A149" t="str">
            <v>East Midlands</v>
          </cell>
          <cell r="B149" t="str">
            <v>UK</v>
          </cell>
          <cell r="C149" t="str">
            <v>Europe</v>
          </cell>
          <cell r="D149" t="str">
            <v>Oceanic</v>
          </cell>
          <cell r="E149" t="str">
            <v>High income</v>
          </cell>
        </row>
        <row r="150">
          <cell r="A150" t="str">
            <v>South East</v>
          </cell>
          <cell r="B150" t="str">
            <v>UK</v>
          </cell>
          <cell r="C150" t="str">
            <v>Europe</v>
          </cell>
          <cell r="D150" t="str">
            <v>Oceanic</v>
          </cell>
          <cell r="E150" t="str">
            <v>High income</v>
          </cell>
        </row>
        <row r="151">
          <cell r="A151" t="str">
            <v>South West</v>
          </cell>
          <cell r="B151" t="str">
            <v>UK</v>
          </cell>
          <cell r="C151" t="str">
            <v>Europe</v>
          </cell>
          <cell r="D151" t="str">
            <v>Oceanic</v>
          </cell>
          <cell r="E151" t="str">
            <v>High income</v>
          </cell>
        </row>
        <row r="152">
          <cell r="A152" t="str">
            <v>Wales</v>
          </cell>
          <cell r="B152" t="str">
            <v>UK</v>
          </cell>
          <cell r="C152" t="str">
            <v>Europe</v>
          </cell>
          <cell r="D152" t="str">
            <v>Oceanic</v>
          </cell>
          <cell r="E152" t="str">
            <v>High income</v>
          </cell>
        </row>
        <row r="153">
          <cell r="A153" t="str">
            <v>Scotland</v>
          </cell>
          <cell r="B153" t="str">
            <v>UK</v>
          </cell>
          <cell r="C153" t="str">
            <v>Europe</v>
          </cell>
          <cell r="D153" t="str">
            <v>Oceanic</v>
          </cell>
          <cell r="E153" t="str">
            <v>High income</v>
          </cell>
        </row>
        <row r="154">
          <cell r="A154" t="str">
            <v>--- Asia (China Specific) ---</v>
          </cell>
          <cell r="B154" t="str">
            <v>  </v>
          </cell>
          <cell r="C154" t="str">
            <v>  </v>
          </cell>
          <cell r="D154" t="str">
            <v>  </v>
          </cell>
          <cell r="E154" t="str">
            <v>  </v>
          </cell>
        </row>
        <row r="155">
          <cell r="A155" t="str">
            <v>China</v>
          </cell>
          <cell r="B155" t="str">
            <v>China</v>
          </cell>
          <cell r="C155" t="str">
            <v>Asia</v>
          </cell>
          <cell r="D155" t="str">
            <v>  </v>
          </cell>
          <cell r="E155" t="str">
            <v>Upper-middle income</v>
          </cell>
        </row>
        <row r="156">
          <cell r="A156" t="str">
            <v>Hulunbuir, China</v>
          </cell>
          <cell r="B156" t="str">
            <v>Hulunbuir, China</v>
          </cell>
          <cell r="C156" t="str">
            <v>Asia</v>
          </cell>
          <cell r="D156" t="str">
            <v>Continental Monsoon</v>
          </cell>
          <cell r="E156" t="str">
            <v>Upper-middle income</v>
          </cell>
        </row>
        <row r="157">
          <cell r="A157" t="str">
            <v>Gansu, China</v>
          </cell>
          <cell r="B157" t="str">
            <v>Gansu, China</v>
          </cell>
          <cell r="C157" t="str">
            <v>Asia</v>
          </cell>
          <cell r="D157" t="str">
            <v>Semi-arid</v>
          </cell>
          <cell r="E157" t="str">
            <v>Upper-middle income</v>
          </cell>
        </row>
        <row r="158">
          <cell r="A158" t="str">
            <v>Dingxi, China</v>
          </cell>
          <cell r="B158" t="str">
            <v>Dingxi, China</v>
          </cell>
          <cell r="C158" t="str">
            <v>Asia</v>
          </cell>
          <cell r="D158" t="str">
            <v>Semi-arid</v>
          </cell>
          <cell r="E158" t="str">
            <v>Upper-middle income</v>
          </cell>
        </row>
        <row r="159">
          <cell r="A159" t="str">
            <v>Tianshui, China</v>
          </cell>
          <cell r="B159" t="str">
            <v>Tianshui, China</v>
          </cell>
          <cell r="C159" t="str">
            <v>Asia</v>
          </cell>
          <cell r="D159" t="str">
            <v>Semi-arid</v>
          </cell>
          <cell r="E159" t="str">
            <v>Upper-middle income</v>
          </cell>
        </row>
        <row r="160">
          <cell r="A160" t="str">
            <v>Nanxiong, China</v>
          </cell>
          <cell r="B160" t="str">
            <v>Nanxiong, China</v>
          </cell>
          <cell r="C160" t="str">
            <v>Asia</v>
          </cell>
          <cell r="D160" t="str">
            <v>Humid Subtropical</v>
          </cell>
          <cell r="E160" t="str">
            <v>Upper-middle income</v>
          </cell>
        </row>
        <row r="161">
          <cell r="A161" t="str">
            <v>Taishan, China</v>
          </cell>
          <cell r="B161" t="str">
            <v>Taishan, China</v>
          </cell>
          <cell r="C161" t="str">
            <v>Asia</v>
          </cell>
          <cell r="D161" t="str">
            <v>Humid Subtropical</v>
          </cell>
          <cell r="E161" t="str">
            <v>Upper-middle income</v>
          </cell>
        </row>
        <row r="162">
          <cell r="A162" t="str">
            <v>Anhui, China</v>
          </cell>
          <cell r="B162" t="str">
            <v>Anhui, China</v>
          </cell>
          <cell r="C162" t="str">
            <v>Asia</v>
          </cell>
          <cell r="D162" t="str">
            <v>Humid Subtropical</v>
          </cell>
          <cell r="E162" t="str">
            <v>Upper-middle income</v>
          </cell>
        </row>
        <row r="163">
          <cell r="A163" t="str">
            <v>Hunan, China</v>
          </cell>
          <cell r="B163" t="str">
            <v>Hunan, China</v>
          </cell>
          <cell r="C163" t="str">
            <v>Asia</v>
          </cell>
          <cell r="D163" t="str">
            <v>Humid Subtropical</v>
          </cell>
          <cell r="E163" t="str">
            <v>Upper-middle income</v>
          </cell>
        </row>
        <row r="164">
          <cell r="A164" t="str">
            <v>Shenzhen,China</v>
          </cell>
          <cell r="B164" t="str">
            <v>Shenzhen, China</v>
          </cell>
          <cell r="C164" t="str">
            <v>Asia</v>
          </cell>
          <cell r="D164" t="str">
            <v>Humid Subtropical</v>
          </cell>
          <cell r="E164" t="str">
            <v>Upper-middle income</v>
          </cell>
        </row>
        <row r="165">
          <cell r="A165" t="str">
            <v>--- Asia (Korea Specific) ---</v>
          </cell>
          <cell r="B165" t="str">
            <v>  </v>
          </cell>
          <cell r="C165" t="str">
            <v>  </v>
          </cell>
          <cell r="D165" t="str">
            <v>  </v>
          </cell>
          <cell r="E165" t="str">
            <v>  </v>
          </cell>
        </row>
        <row r="166">
          <cell r="A166" t="str">
            <v>Incheon, Korea</v>
          </cell>
          <cell r="B166" t="str">
            <v>Incheon, South Korea</v>
          </cell>
          <cell r="C166" t="str">
            <v>Asia</v>
          </cell>
          <cell r="D166" t="str">
            <v>Continental Monsoon</v>
          </cell>
          <cell r="E166" t="str">
            <v>High income</v>
          </cell>
        </row>
        <row r="167">
          <cell r="A167" t="str">
            <v>GwangJu</v>
          </cell>
          <cell r="B167" t="str">
            <v>Gwangju, South Korea</v>
          </cell>
          <cell r="C167" t="str">
            <v>Asia</v>
          </cell>
          <cell r="D167" t="str">
            <v>Humid Subtropical</v>
          </cell>
          <cell r="E167" t="str">
            <v>High income</v>
          </cell>
        </row>
        <row r="168">
          <cell r="A168" t="str">
            <v>Daejeon</v>
          </cell>
          <cell r="B168" t="str">
            <v>Daejeon, South Korea</v>
          </cell>
          <cell r="C168" t="str">
            <v>Asia</v>
          </cell>
          <cell r="D168" t="str">
            <v>Continental Monsoon</v>
          </cell>
          <cell r="E168" t="str">
            <v>High income</v>
          </cell>
        </row>
        <row r="169">
          <cell r="A169" t="str">
            <v>Ulsan</v>
          </cell>
          <cell r="B169" t="str">
            <v>Ulsan, South Korea</v>
          </cell>
          <cell r="C169" t="str">
            <v>Asia</v>
          </cell>
          <cell r="D169" t="str">
            <v>Humid Subtropical</v>
          </cell>
          <cell r="E169" t="str">
            <v>High income</v>
          </cell>
        </row>
        <row r="170">
          <cell r="A170" t="str">
            <v>Gyeonggido</v>
          </cell>
          <cell r="B170" t="str">
            <v>Gyeonggi, South Korea</v>
          </cell>
          <cell r="C170" t="str">
            <v>Asia</v>
          </cell>
          <cell r="D170" t="str">
            <v>Continental Monsoon</v>
          </cell>
          <cell r="E170" t="str">
            <v>High income</v>
          </cell>
        </row>
        <row r="171">
          <cell r="A171" t="str">
            <v>Gangwondo</v>
          </cell>
          <cell r="B171" t="str">
            <v>Gangwon, South Korea</v>
          </cell>
          <cell r="C171" t="str">
            <v>Asia</v>
          </cell>
          <cell r="D171" t="str">
            <v>Continental Monsoon</v>
          </cell>
          <cell r="E171" t="str">
            <v>High income</v>
          </cell>
        </row>
        <row r="172">
          <cell r="A172" t="str">
            <v>Chungcheongbukdo</v>
          </cell>
          <cell r="B172" t="str">
            <v>Chungbuk, South Korea</v>
          </cell>
          <cell r="C172" t="str">
            <v>Asia</v>
          </cell>
          <cell r="D172" t="str">
            <v>Continental Monsoon</v>
          </cell>
          <cell r="E172" t="str">
            <v>High income</v>
          </cell>
        </row>
        <row r="173">
          <cell r="A173" t="str">
            <v>Chungcheongnamdo</v>
          </cell>
          <cell r="B173" t="str">
            <v>Chungnam, South Korea</v>
          </cell>
          <cell r="C173" t="str">
            <v>Asia</v>
          </cell>
          <cell r="D173" t="str">
            <v>Continental Monsoon</v>
          </cell>
          <cell r="E173" t="str">
            <v>High income</v>
          </cell>
        </row>
        <row r="174">
          <cell r="A174" t="str">
            <v>Jeollabukdo</v>
          </cell>
          <cell r="B174" t="str">
            <v>Jeonbuk, South Korea</v>
          </cell>
          <cell r="C174" t="str">
            <v>Asia</v>
          </cell>
          <cell r="D174" t="str">
            <v>Humid Subtropical</v>
          </cell>
          <cell r="E174" t="str">
            <v>High income</v>
          </cell>
        </row>
        <row r="175">
          <cell r="A175" t="str">
            <v>Jeollanamdo</v>
          </cell>
          <cell r="B175" t="str">
            <v>Jeonnam, South Korea</v>
          </cell>
          <cell r="C175" t="str">
            <v>Asia</v>
          </cell>
          <cell r="D175" t="str">
            <v>Humid Subtropical</v>
          </cell>
          <cell r="E175" t="str">
            <v>High income</v>
          </cell>
        </row>
        <row r="176">
          <cell r="A176" t="str">
            <v>Gyeongsangbukdo</v>
          </cell>
          <cell r="B176" t="str">
            <v>Gyeongbuk, South Korea</v>
          </cell>
          <cell r="C176" t="str">
            <v>Asia</v>
          </cell>
          <cell r="D176" t="str">
            <v>Humid Subtropical</v>
          </cell>
          <cell r="E176" t="str">
            <v>High income</v>
          </cell>
        </row>
        <row r="177">
          <cell r="A177" t="str">
            <v>Gyeongsangnamdo</v>
          </cell>
          <cell r="B177" t="str">
            <v>Gyeongnam, South Korea</v>
          </cell>
          <cell r="C177" t="str">
            <v>Asia</v>
          </cell>
          <cell r="D177" t="str">
            <v>Humid Subtropical</v>
          </cell>
          <cell r="E177" t="str">
            <v>High income</v>
          </cell>
        </row>
        <row r="178">
          <cell r="A178" t="str">
            <v>Jejudo</v>
          </cell>
          <cell r="B178" t="str">
            <v>Jeju, South Korea</v>
          </cell>
          <cell r="C178" t="str">
            <v>Asia</v>
          </cell>
          <cell r="D178" t="str">
            <v>Humid Subtropical</v>
          </cell>
          <cell r="E178" t="str">
            <v>High income</v>
          </cell>
        </row>
        <row r="179">
          <cell r="A179" t="str">
            <v>Korea With dementia</v>
          </cell>
          <cell r="B179" t="str">
            <v>South Korea</v>
          </cell>
          <cell r="C179" t="str">
            <v>Asia</v>
          </cell>
          <cell r="D179" t="str">
            <v>Continental Monsoon</v>
          </cell>
          <cell r="E179" t="str">
            <v>High income</v>
          </cell>
        </row>
        <row r="180">
          <cell r="A180" t="str">
            <v>Korea Without dementia</v>
          </cell>
          <cell r="B180" t="str">
            <v>South Korea</v>
          </cell>
          <cell r="C180" t="str">
            <v>Asia</v>
          </cell>
          <cell r="D180" t="str">
            <v>Continental Monsoon</v>
          </cell>
          <cell r="E180" t="str">
            <v>High income</v>
          </cell>
        </row>
        <row r="181">
          <cell r="A181" t="str">
            <v>--- Asia (Other) ---</v>
          </cell>
          <cell r="B181" t="str">
            <v>  </v>
          </cell>
          <cell r="C181" t="str">
            <v>  </v>
          </cell>
          <cell r="D181" t="str">
            <v>  </v>
          </cell>
          <cell r="E181" t="str">
            <v>  </v>
          </cell>
        </row>
        <row r="182">
          <cell r="A182" t="str">
            <v>Afghanistan</v>
          </cell>
          <cell r="B182" t="str">
            <v>Afghanistan</v>
          </cell>
          <cell r="C182" t="str">
            <v>Asia</v>
          </cell>
          <cell r="D182" t="str">
            <v>Semi-arid</v>
          </cell>
          <cell r="E182" t="str">
            <v>Low income</v>
          </cell>
        </row>
        <row r="183">
          <cell r="A183" t="str">
            <v>Ho Chi Minh City,Vietnam</v>
          </cell>
          <cell r="B183" t="str">
            <v>Ho Chi Minh City</v>
          </cell>
          <cell r="C183" t="str">
            <v>Asia</v>
          </cell>
          <cell r="D183" t="str">
            <v>Tropical</v>
          </cell>
          <cell r="E183" t="str">
            <v>Lower-middle income</v>
          </cell>
        </row>
        <row r="184">
          <cell r="A184" t="str">
            <v>--- North America (USA) ---</v>
          </cell>
          <cell r="B184" t="str">
            <v>  </v>
          </cell>
          <cell r="C184" t="str">
            <v>  </v>
          </cell>
          <cell r="D184" t="str">
            <v>  </v>
          </cell>
          <cell r="E184" t="str">
            <v>  </v>
          </cell>
        </row>
        <row r="185">
          <cell r="A185" t="str">
            <v>Carolina, USA</v>
          </cell>
          <cell r="B185" t="str">
            <v>North Carolina, USA</v>
          </cell>
          <cell r="C185" t="str">
            <v>North America</v>
          </cell>
          <cell r="D185" t="str">
            <v>Humid Subtropical</v>
          </cell>
          <cell r="E185" t="str">
            <v>High income</v>
          </cell>
        </row>
        <row r="186">
          <cell r="A186" t="str">
            <v>USA (California)</v>
          </cell>
          <cell r="B186" t="str">
            <v>California, USA</v>
          </cell>
          <cell r="C186" t="str">
            <v>North America</v>
          </cell>
          <cell r="D186" t="str">
            <v>Mediterranean</v>
          </cell>
          <cell r="E186" t="str">
            <v>High income</v>
          </cell>
        </row>
        <row r="187">
          <cell r="A187" t="str">
            <v>Temperate climates area, USA</v>
          </cell>
          <cell r="B187" t="str">
            <v>USA</v>
          </cell>
          <cell r="C187" t="str">
            <v>North America</v>
          </cell>
          <cell r="D187" t="str">
            <v>Humid Subtropical</v>
          </cell>
          <cell r="E187" t="str">
            <v>High income</v>
          </cell>
        </row>
        <row r="188">
          <cell r="A188" t="str">
            <v>Continental climates area, USA</v>
          </cell>
          <cell r="B188" t="str">
            <v>USA</v>
          </cell>
          <cell r="C188" t="str">
            <v>North America</v>
          </cell>
          <cell r="D188" t="str">
            <v>Humid Continental</v>
          </cell>
          <cell r="E188" t="str">
            <v>High income</v>
          </cell>
        </row>
        <row r="189">
          <cell r="A189" t="str">
            <v>Arid climates area, USA</v>
          </cell>
          <cell r="B189" t="str">
            <v>USA</v>
          </cell>
          <cell r="C189" t="str">
            <v>North America</v>
          </cell>
          <cell r="D189" t="str">
            <v>Arid</v>
          </cell>
          <cell r="E189" t="str">
            <v>High income</v>
          </cell>
        </row>
        <row r="190">
          <cell r="A190" t="str">
            <v>Tropical climates area, USA</v>
          </cell>
          <cell r="B190" t="str">
            <v>USA</v>
          </cell>
          <cell r="C190" t="str">
            <v>North America</v>
          </cell>
          <cell r="D190" t="str">
            <v>Tropical</v>
          </cell>
          <cell r="E190" t="str">
            <v>High income</v>
          </cell>
        </row>
        <row r="191">
          <cell r="A191" t="str">
            <v>120 Large Urban Areas, USA</v>
          </cell>
          <cell r="B191" t="str">
            <v>USA</v>
          </cell>
          <cell r="C191" t="str">
            <v>North America</v>
          </cell>
          <cell r="D191" t="str">
            <v>  </v>
          </cell>
          <cell r="E191" t="str">
            <v>High income</v>
          </cell>
        </row>
        <row r="192">
          <cell r="A192" t="str">
            <v>--- South America (Brazil) ---</v>
          </cell>
          <cell r="B192" t="str">
            <v>  </v>
          </cell>
          <cell r="C192" t="str">
            <v>  </v>
          </cell>
          <cell r="D192" t="str">
            <v>  </v>
          </cell>
          <cell r="E192" t="str">
            <v>  </v>
          </cell>
        </row>
        <row r="193">
          <cell r="A193" t="str">
            <v>Goiânia</v>
          </cell>
          <cell r="B193" t="str">
            <v>Goiania, Brazil</v>
          </cell>
          <cell r="C193" t="str">
            <v>South America</v>
          </cell>
          <cell r="D193" t="str">
            <v>Tropical</v>
          </cell>
          <cell r="E193" t="str">
            <v>Upper-middle income</v>
          </cell>
        </row>
        <row r="194">
          <cell r="A194" t="str">
            <v>Vale do Rio Cuiabá</v>
          </cell>
          <cell r="B194" t="str">
            <v>Cuiaba, Brazil</v>
          </cell>
          <cell r="C194" t="str">
            <v>South America</v>
          </cell>
          <cell r="D194" t="str">
            <v>Tropical</v>
          </cell>
          <cell r="E194" t="str">
            <v>Upper-middle income</v>
          </cell>
        </row>
        <row r="195">
          <cell r="A195" t="str">
            <v>Aracaju</v>
          </cell>
          <cell r="B195" t="str">
            <v>Aracaju, Brazil</v>
          </cell>
          <cell r="C195" t="str">
            <v>South America</v>
          </cell>
          <cell r="D195" t="str">
            <v>Tropical</v>
          </cell>
          <cell r="E195" t="str">
            <v>Upper-middle income</v>
          </cell>
        </row>
        <row r="196">
          <cell r="A196" t="str">
            <v>Campina Grande</v>
          </cell>
          <cell r="B196" t="str">
            <v>Campina Grande, Brazil</v>
          </cell>
          <cell r="C196" t="str">
            <v>South America</v>
          </cell>
          <cell r="D196" t="str">
            <v>Tropical</v>
          </cell>
          <cell r="E196" t="str">
            <v>Upper-middle income</v>
          </cell>
        </row>
        <row r="197">
          <cell r="A197" t="str">
            <v>Cariri</v>
          </cell>
          <cell r="B197" t="str">
            <v>Cariri, Brazil</v>
          </cell>
          <cell r="C197" t="str">
            <v>South America</v>
          </cell>
          <cell r="D197" t="str">
            <v>Tropical</v>
          </cell>
          <cell r="E197" t="str">
            <v>Upper-middle income</v>
          </cell>
        </row>
        <row r="198">
          <cell r="A198" t="str">
            <v>Feira de Santana</v>
          </cell>
          <cell r="B198" t="str">
            <v>Bahia, Brazil</v>
          </cell>
          <cell r="C198" t="str">
            <v>South America</v>
          </cell>
          <cell r="D198" t="str">
            <v>Tropical</v>
          </cell>
          <cell r="E198" t="str">
            <v>Upper-middle income</v>
          </cell>
        </row>
        <row r="199">
          <cell r="A199" t="str">
            <v>Fortaleza</v>
          </cell>
          <cell r="B199" t="str">
            <v>Fortaleza, Brazil</v>
          </cell>
          <cell r="C199" t="str">
            <v>South America</v>
          </cell>
          <cell r="D199" t="str">
            <v>Tropical</v>
          </cell>
          <cell r="E199" t="str">
            <v>Upper-middle income</v>
          </cell>
        </row>
        <row r="200">
          <cell r="A200" t="str">
            <v>Grande São Luís</v>
          </cell>
          <cell r="B200" t="str">
            <v>Sao Luis, Brazil</v>
          </cell>
          <cell r="C200" t="str">
            <v>South America</v>
          </cell>
          <cell r="D200" t="str">
            <v>Tropical</v>
          </cell>
          <cell r="E200" t="str">
            <v>Upper-middle income</v>
          </cell>
        </row>
        <row r="201">
          <cell r="A201" t="str">
            <v>João Pessoa</v>
          </cell>
          <cell r="B201" t="str">
            <v>Joao Pessoa, Brazil</v>
          </cell>
          <cell r="C201" t="str">
            <v>South America</v>
          </cell>
          <cell r="D201" t="str">
            <v>Tropical</v>
          </cell>
          <cell r="E201" t="str">
            <v>Upper-middle income</v>
          </cell>
        </row>
        <row r="202">
          <cell r="A202" t="str">
            <v>Maceió</v>
          </cell>
          <cell r="B202" t="str">
            <v>Maceio, Brazil</v>
          </cell>
          <cell r="C202" t="str">
            <v>South America</v>
          </cell>
          <cell r="D202" t="str">
            <v>Tropical</v>
          </cell>
          <cell r="E202" t="str">
            <v>Upper-middle income</v>
          </cell>
        </row>
        <row r="203">
          <cell r="A203" t="str">
            <v>Natal</v>
          </cell>
          <cell r="B203" t="str">
            <v>Natal, Brazil</v>
          </cell>
          <cell r="C203" t="str">
            <v>South America</v>
          </cell>
          <cell r="D203" t="str">
            <v>Tropical</v>
          </cell>
          <cell r="E203" t="str">
            <v>Upper-middle income</v>
          </cell>
        </row>
        <row r="204">
          <cell r="A204" t="str">
            <v>Palmeira dos Índios</v>
          </cell>
          <cell r="B204" t="str">
            <v>Alagoas, Brazil</v>
          </cell>
          <cell r="C204" t="str">
            <v>South America</v>
          </cell>
          <cell r="D204" t="str">
            <v>Tropical</v>
          </cell>
          <cell r="E204" t="str">
            <v>Upper-middle income</v>
          </cell>
        </row>
        <row r="205">
          <cell r="A205" t="str">
            <v>Patos</v>
          </cell>
          <cell r="B205" t="str">
            <v>Paraiba, Brazil</v>
          </cell>
          <cell r="C205" t="str">
            <v>South America</v>
          </cell>
          <cell r="D205" t="str">
            <v>Tropical</v>
          </cell>
          <cell r="E205" t="str">
            <v>Upper-middle income</v>
          </cell>
        </row>
        <row r="206">
          <cell r="A206" t="str">
            <v>Recife</v>
          </cell>
          <cell r="B206" t="str">
            <v>Recife, Brazil</v>
          </cell>
          <cell r="C206" t="str">
            <v>South America</v>
          </cell>
          <cell r="D206" t="str">
            <v>Tropical</v>
          </cell>
          <cell r="E206" t="str">
            <v>Upper-middle income</v>
          </cell>
        </row>
        <row r="207">
          <cell r="A207" t="str">
            <v>Salvador</v>
          </cell>
          <cell r="B207" t="str">
            <v>Salvador, Brazil</v>
          </cell>
          <cell r="C207" t="str">
            <v>South America</v>
          </cell>
          <cell r="D207" t="str">
            <v>Tropical</v>
          </cell>
          <cell r="E207" t="str">
            <v>Upper-middle income</v>
          </cell>
        </row>
        <row r="208">
          <cell r="A208" t="str">
            <v>Sudoeste Maranhense</v>
          </cell>
          <cell r="B208" t="str">
            <v>Maranhao, Brazil</v>
          </cell>
          <cell r="C208" t="str">
            <v>South America</v>
          </cell>
          <cell r="D208" t="str">
            <v>Tropical</v>
          </cell>
          <cell r="E208" t="str">
            <v>Upper-middle income</v>
          </cell>
        </row>
        <row r="209">
          <cell r="A209" t="str">
            <v>Belém</v>
          </cell>
          <cell r="B209" t="str">
            <v>Belem, Brazil</v>
          </cell>
          <cell r="C209" t="str">
            <v>South America</v>
          </cell>
          <cell r="D209" t="str">
            <v>Tropical</v>
          </cell>
          <cell r="E209" t="str">
            <v>Upper-middle income</v>
          </cell>
        </row>
        <row r="210">
          <cell r="A210" t="str">
            <v>Capital</v>
          </cell>
          <cell r="B210" t="str">
            <v>Brasilia, Brazil</v>
          </cell>
          <cell r="C210" t="str">
            <v>South America</v>
          </cell>
          <cell r="D210" t="str">
            <v>Tropical</v>
          </cell>
          <cell r="E210" t="str">
            <v>Upper-middle income</v>
          </cell>
        </row>
        <row r="211">
          <cell r="A211" t="str">
            <v>Gurupi</v>
          </cell>
          <cell r="B211" t="str">
            <v>Tocantins, Brazil</v>
          </cell>
          <cell r="C211" t="str">
            <v>South America</v>
          </cell>
          <cell r="D211" t="str">
            <v>Tropical</v>
          </cell>
          <cell r="E211" t="str">
            <v>Upper-middle income</v>
          </cell>
        </row>
        <row r="212">
          <cell r="A212" t="str">
            <v>Macapá</v>
          </cell>
          <cell r="B212" t="str">
            <v>Macapa, Brazil</v>
          </cell>
          <cell r="C212" t="str">
            <v>South America</v>
          </cell>
          <cell r="D212" t="str">
            <v>Tropical</v>
          </cell>
          <cell r="E212" t="str">
            <v>Upper-middle income</v>
          </cell>
        </row>
        <row r="213">
          <cell r="A213" t="str">
            <v>Palmas</v>
          </cell>
          <cell r="B213" t="str">
            <v>Palmas, Brazil</v>
          </cell>
          <cell r="C213" t="str">
            <v>South America</v>
          </cell>
          <cell r="D213" t="str">
            <v>Tropical</v>
          </cell>
          <cell r="E213" t="str">
            <v>Upper-middle income</v>
          </cell>
        </row>
        <row r="214">
          <cell r="A214" t="str">
            <v>Belo Horizonte</v>
          </cell>
          <cell r="B214" t="str">
            <v>Belo Horizonte, Brazil</v>
          </cell>
          <cell r="C214" t="str">
            <v>South America</v>
          </cell>
          <cell r="D214" t="str">
            <v>Tropical</v>
          </cell>
          <cell r="E214" t="str">
            <v>Upper-middle income</v>
          </cell>
        </row>
        <row r="215">
          <cell r="A215" t="str">
            <v>Grande Vitória</v>
          </cell>
          <cell r="B215" t="str">
            <v>Vitoria, Brazil</v>
          </cell>
          <cell r="C215" t="str">
            <v>South America</v>
          </cell>
          <cell r="D215" t="str">
            <v>Tropical</v>
          </cell>
          <cell r="E215" t="str">
            <v>Upper-middle income</v>
          </cell>
        </row>
        <row r="216">
          <cell r="A216" t="str">
            <v>RibeirãoPreto</v>
          </cell>
          <cell r="B216" t="str">
            <v>Sao Paulo State, Brazil</v>
          </cell>
          <cell r="C216" t="str">
            <v>South America</v>
          </cell>
          <cell r="D216" t="str">
            <v>Humid Subtropical</v>
          </cell>
          <cell r="E216" t="str">
            <v>Upper-middle income</v>
          </cell>
        </row>
        <row r="217">
          <cell r="A217" t="str">
            <v>São Paulo</v>
          </cell>
          <cell r="B217" t="str">
            <v>São Paulo, Brazil</v>
          </cell>
          <cell r="C217" t="str">
            <v>South America</v>
          </cell>
          <cell r="D217" t="str">
            <v>Humid Subtropical</v>
          </cell>
          <cell r="E217" t="str">
            <v>Upper-middle income</v>
          </cell>
        </row>
        <row r="218">
          <cell r="A218" t="str">
            <v>Sorocaba</v>
          </cell>
          <cell r="B218" t="str">
            <v>Sao Paulo State, Brazil</v>
          </cell>
          <cell r="C218" t="str">
            <v>South America</v>
          </cell>
          <cell r="D218" t="str">
            <v>Humid Subtropical</v>
          </cell>
          <cell r="E218" t="str">
            <v>Upper-middle income</v>
          </cell>
        </row>
        <row r="219">
          <cell r="A219" t="str">
            <v>Vale do Aço</v>
          </cell>
          <cell r="B219" t="str">
            <v>Minas Gerais, Brazil</v>
          </cell>
          <cell r="C219" t="str">
            <v>South America</v>
          </cell>
          <cell r="D219" t="str">
            <v>Tropical</v>
          </cell>
          <cell r="E219" t="str">
            <v>Upper-middle income</v>
          </cell>
        </row>
        <row r="220">
          <cell r="A220" t="str">
            <v>Vale do Paraíba e Litoral Norte</v>
          </cell>
          <cell r="B220" t="str">
            <v>Sao Paulo State, Brazil</v>
          </cell>
          <cell r="C220" t="str">
            <v>South America</v>
          </cell>
          <cell r="D220" t="str">
            <v>Humid Subtropical</v>
          </cell>
          <cell r="E220" t="str">
            <v>Upper-middle income</v>
          </cell>
        </row>
        <row r="221">
          <cell r="A221" t="str">
            <v>Campo Mourão</v>
          </cell>
          <cell r="B221" t="str">
            <v>Parana, Brazil</v>
          </cell>
          <cell r="C221" t="str">
            <v>South America</v>
          </cell>
          <cell r="D221" t="str">
            <v>Humid Subtropical</v>
          </cell>
          <cell r="E221" t="str">
            <v>Upper-middle income</v>
          </cell>
        </row>
        <row r="222">
          <cell r="A222" t="str">
            <v>Carbonífera</v>
          </cell>
          <cell r="B222" t="str">
            <v>Santa Catarina, Brazil</v>
          </cell>
          <cell r="C222" t="str">
            <v>South America</v>
          </cell>
          <cell r="D222" t="str">
            <v>Humid Subtropical</v>
          </cell>
          <cell r="E222" t="str">
            <v>Upper-middle income</v>
          </cell>
        </row>
        <row r="223">
          <cell r="A223" t="str">
            <v>Chapecó</v>
          </cell>
          <cell r="B223" t="str">
            <v>Santa Catarina, Brazil</v>
          </cell>
          <cell r="C223" t="str">
            <v>South America</v>
          </cell>
          <cell r="D223" t="str">
            <v>Humid Subtropical</v>
          </cell>
          <cell r="E223" t="str">
            <v>Upper-middle income</v>
          </cell>
        </row>
        <row r="224">
          <cell r="A224" t="str">
            <v>Contestado</v>
          </cell>
          <cell r="B224" t="str">
            <v>Santa Catarina, Brazil</v>
          </cell>
          <cell r="C224" t="str">
            <v>South America</v>
          </cell>
          <cell r="D224" t="str">
            <v>Humid Subtropical</v>
          </cell>
          <cell r="E224" t="str">
            <v>Upper-middle income</v>
          </cell>
        </row>
        <row r="225">
          <cell r="A225" t="str">
            <v>Curitiba</v>
          </cell>
          <cell r="B225" t="str">
            <v>Curitiba, Brazil</v>
          </cell>
          <cell r="C225" t="str">
            <v>South America</v>
          </cell>
          <cell r="D225" t="str">
            <v>Humid Subtropical</v>
          </cell>
          <cell r="E225" t="str">
            <v>Upper-middle income</v>
          </cell>
        </row>
        <row r="226">
          <cell r="A226" t="str">
            <v>Florianópolis</v>
          </cell>
          <cell r="B226" t="str">
            <v>Florianopolis, Brazil</v>
          </cell>
          <cell r="C226" t="str">
            <v>South America</v>
          </cell>
          <cell r="D226" t="str">
            <v>Humid Subtropical</v>
          </cell>
          <cell r="E226" t="str">
            <v>Upper-middle income</v>
          </cell>
        </row>
        <row r="227">
          <cell r="A227" t="str">
            <v>Lages</v>
          </cell>
          <cell r="B227" t="str">
            <v>Santa Catarina, Brazil</v>
          </cell>
          <cell r="C227" t="str">
            <v>South America</v>
          </cell>
          <cell r="D227" t="str">
            <v>Humid Subtropical</v>
          </cell>
          <cell r="E227" t="str">
            <v>Upper-middle income</v>
          </cell>
        </row>
        <row r="228">
          <cell r="A228" t="str">
            <v>Londrina</v>
          </cell>
          <cell r="B228" t="str">
            <v>Parana, Brazil</v>
          </cell>
          <cell r="C228" t="str">
            <v>South America</v>
          </cell>
          <cell r="D228" t="str">
            <v>Humid Subtropical</v>
          </cell>
          <cell r="E228" t="str">
            <v>Upper-middle income</v>
          </cell>
        </row>
        <row r="229">
          <cell r="A229" t="str">
            <v>Maringá</v>
          </cell>
          <cell r="B229" t="str">
            <v>Parana, Brazil</v>
          </cell>
          <cell r="C229" t="str">
            <v>South America</v>
          </cell>
          <cell r="D229" t="str">
            <v>Humid Subtropical</v>
          </cell>
          <cell r="E229" t="str">
            <v>Upper-middle income</v>
          </cell>
        </row>
        <row r="230">
          <cell r="A230" t="str">
            <v>Porto Alegre</v>
          </cell>
          <cell r="B230" t="str">
            <v>Porto Alegre, Brazil</v>
          </cell>
          <cell r="C230" t="str">
            <v>South America</v>
          </cell>
          <cell r="D230" t="str">
            <v>Humid Subtropical</v>
          </cell>
          <cell r="E230" t="str">
            <v>Upper-middle income</v>
          </cell>
        </row>
        <row r="231">
          <cell r="A231" t="str">
            <v>Serra Gaúcha</v>
          </cell>
          <cell r="B231" t="str">
            <v>Rio Grande do Sul, Brazil</v>
          </cell>
          <cell r="C231" t="str">
            <v>South America</v>
          </cell>
          <cell r="D231" t="str">
            <v>Humid Subtropical</v>
          </cell>
          <cell r="E231" t="str">
            <v>Upper-middle income</v>
          </cell>
        </row>
        <row r="232">
          <cell r="A232" t="str">
            <v>Vale do Itajaí</v>
          </cell>
          <cell r="B232" t="str">
            <v>Santa Catarina, Brazil</v>
          </cell>
          <cell r="C232" t="str">
            <v>South America</v>
          </cell>
          <cell r="D232" t="str">
            <v>Humid Subtropical</v>
          </cell>
          <cell r="E232" t="str">
            <v>Upper-middle income</v>
          </cell>
        </row>
        <row r="233">
          <cell r="A233" t="str">
            <v>--- Oceania ---</v>
          </cell>
          <cell r="B233" t="str">
            <v>  </v>
          </cell>
          <cell r="C233" t="str">
            <v>  </v>
          </cell>
          <cell r="D233" t="str">
            <v>  </v>
          </cell>
          <cell r="E233" t="str">
            <v>  </v>
          </cell>
        </row>
        <row r="234">
          <cell r="A234" t="str">
            <v>Australia</v>
          </cell>
          <cell r="B234" t="str">
            <v>Australia</v>
          </cell>
          <cell r="C234" t="str">
            <v>Oceania</v>
          </cell>
          <cell r="D234" t="str">
            <v>  </v>
          </cell>
          <cell r="E234" t="str">
            <v>High income</v>
          </cell>
        </row>
        <row r="235">
          <cell r="A235" t="str">
            <v>outage scenario in Victoria, Australia</v>
          </cell>
          <cell r="B235" t="str">
            <v>Australia (Victoria)</v>
          </cell>
          <cell r="C235" t="str">
            <v>Oceania</v>
          </cell>
          <cell r="D235" t="str">
            <v>Oceanic</v>
          </cell>
          <cell r="E235" t="str">
            <v>High income</v>
          </cell>
        </row>
        <row r="236">
          <cell r="A236" t="str">
            <v>non-outage scenario in Victoria, Australia</v>
          </cell>
          <cell r="B236" t="str">
            <v>Australia (Victoria)</v>
          </cell>
          <cell r="C236" t="str">
            <v>Oceania</v>
          </cell>
          <cell r="D236" t="str">
            <v>Oceanic</v>
          </cell>
          <cell r="E236" t="str">
            <v>High income</v>
          </cell>
        </row>
        <row r="237">
          <cell r="A237" t="str">
            <v>Original Input (原始数据)</v>
          </cell>
          <cell r="B237" t="str">
            <v>Standardized Location</v>
          </cell>
          <cell r="C237" t="str">
            <v>Continent</v>
          </cell>
          <cell r="D237" t="str">
            <v>Refined Climate Zone</v>
          </cell>
          <cell r="E237" t="str">
            <v>Income Level</v>
          </cell>
        </row>
        <row r="238">
          <cell r="A238" t="str">
            <v>North-West</v>
          </cell>
          <cell r="B238" t="str">
            <v>UK</v>
          </cell>
          <cell r="C238" t="str">
            <v>Europe</v>
          </cell>
          <cell r="D238" t="str">
            <v>Oceanic</v>
          </cell>
          <cell r="E238" t="str">
            <v>High income</v>
          </cell>
        </row>
        <row r="239">
          <cell r="A239" t="str">
            <v>Brisbane</v>
          </cell>
          <cell r="B239" t="str">
            <v>Brisbane, Australia</v>
          </cell>
          <cell r="C239" t="str">
            <v>Oceania</v>
          </cell>
          <cell r="D239" t="str">
            <v>Humid Subtropical</v>
          </cell>
          <cell r="E239" t="str">
            <v>High income</v>
          </cell>
        </row>
        <row r="240">
          <cell r="A240" t="str">
            <v>Rome</v>
          </cell>
          <cell r="B240" t="str">
            <v>Rome, Italy</v>
          </cell>
          <cell r="C240" t="str">
            <v>Europe</v>
          </cell>
          <cell r="D240" t="str">
            <v>Mediterranean</v>
          </cell>
          <cell r="E240" t="str">
            <v>High income</v>
          </cell>
        </row>
        <row r="241">
          <cell r="A241" t="str">
            <v>Turin</v>
          </cell>
          <cell r="B241" t="str">
            <v>Turin, Italy</v>
          </cell>
          <cell r="C241" t="str">
            <v>Europe</v>
          </cell>
          <cell r="D241" t="str">
            <v>Humid Subtropical</v>
          </cell>
          <cell r="E241" t="str">
            <v>High income</v>
          </cell>
        </row>
        <row r="242">
          <cell r="A242" t="str">
            <v>outage scenario in Victoria, Australia</v>
          </cell>
          <cell r="B242" t="str">
            <v>Australia (Victoria)</v>
          </cell>
          <cell r="C242" t="str">
            <v>Oceania</v>
          </cell>
          <cell r="D242" t="str">
            <v>Oceanic</v>
          </cell>
          <cell r="E242" t="str">
            <v>High income</v>
          </cell>
        </row>
        <row r="243">
          <cell r="A243" t="str">
            <v>outage  scenario in Victoria, Australia</v>
          </cell>
          <cell r="B243" t="str">
            <v>Australia (Victoria)</v>
          </cell>
          <cell r="C243" t="str">
            <v>Oceania</v>
          </cell>
          <cell r="D243" t="str">
            <v>Oceanic</v>
          </cell>
          <cell r="E243" t="str">
            <v>High income</v>
          </cell>
        </row>
        <row r="244">
          <cell r="A244" t="str">
            <v>Anhui,China</v>
          </cell>
          <cell r="B244" t="str">
            <v>Anhui, China</v>
          </cell>
          <cell r="C244" t="str">
            <v>Asia</v>
          </cell>
          <cell r="D244" t="str">
            <v>Humid Subtropical</v>
          </cell>
          <cell r="E244" t="str">
            <v>Upper-middle income</v>
          </cell>
        </row>
        <row r="245">
          <cell r="A245" t="str">
            <v>China </v>
          </cell>
          <cell r="B245" t="str">
            <v>China</v>
          </cell>
          <cell r="C245" t="str">
            <v>Asia</v>
          </cell>
          <cell r="D245" t="str">
            <v> </v>
          </cell>
          <cell r="E245" t="str">
            <v>Upper-middle income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5"/>
  <sheetViews>
    <sheetView topLeftCell="A43" workbookViewId="0">
      <pane xSplit="1" topLeftCell="B1" activePane="topRight" state="frozen"/>
      <selection/>
      <selection pane="topRight" activeCell="Z1" sqref="Z$1:Z$1048576"/>
    </sheetView>
  </sheetViews>
  <sheetFormatPr defaultColWidth="9" defaultRowHeight="13.5"/>
  <cols>
    <col min="7" max="7" width="30.6725663716814" customWidth="1"/>
    <col min="17" max="17" width="68.2300884955752" customWidth="1"/>
    <col min="23" max="23" width="38.9026548672566" customWidth="1"/>
  </cols>
  <sheetData>
    <row r="1" ht="13.9" spans="1:104">
      <c r="A1" s="5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8" t="s">
        <v>6</v>
      </c>
      <c r="H1" s="8" t="s">
        <v>6</v>
      </c>
      <c r="I1" s="9" t="s">
        <v>7</v>
      </c>
      <c r="J1" s="9" t="s">
        <v>8</v>
      </c>
      <c r="K1" s="9" t="s">
        <v>9</v>
      </c>
      <c r="L1" s="8" t="s">
        <v>10</v>
      </c>
      <c r="M1" s="10" t="s">
        <v>11</v>
      </c>
      <c r="N1" s="2" t="s">
        <v>12</v>
      </c>
      <c r="O1" s="8" t="s">
        <v>13</v>
      </c>
      <c r="P1" s="2" t="s">
        <v>14</v>
      </c>
      <c r="Q1" s="2" t="s">
        <v>15</v>
      </c>
      <c r="R1" s="2" t="s">
        <v>16</v>
      </c>
      <c r="S1" s="8" t="s">
        <v>17</v>
      </c>
      <c r="T1" s="2" t="s">
        <v>18</v>
      </c>
      <c r="U1" s="15" t="s">
        <v>19</v>
      </c>
      <c r="V1" s="2" t="s">
        <v>20</v>
      </c>
      <c r="W1" s="2" t="s">
        <v>21</v>
      </c>
      <c r="X1" s="2"/>
      <c r="Y1" s="8" t="s">
        <v>22</v>
      </c>
      <c r="Z1" s="7" t="s">
        <v>23</v>
      </c>
      <c r="AA1" s="2" t="s">
        <v>24</v>
      </c>
      <c r="AB1" s="2" t="s">
        <v>25</v>
      </c>
    </row>
    <row r="2" ht="13.85" spans="1:104">
      <c r="A2" s="1">
        <v>33</v>
      </c>
      <c r="B2" s="1">
        <v>1</v>
      </c>
      <c r="C2" s="1"/>
      <c r="D2" s="1">
        <v>2020</v>
      </c>
      <c r="E2" s="1"/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/>
      <c r="M2" s="1"/>
      <c r="N2" s="1" t="s">
        <v>32</v>
      </c>
      <c r="O2" s="1"/>
      <c r="P2" s="1"/>
      <c r="Q2" s="1" t="s">
        <v>33</v>
      </c>
      <c r="R2" s="1" t="s">
        <v>34</v>
      </c>
      <c r="S2" s="1"/>
      <c r="T2" s="1" t="s">
        <v>35</v>
      </c>
      <c r="U2" s="1">
        <v>13.5</v>
      </c>
      <c r="V2" s="1" t="s">
        <v>36</v>
      </c>
      <c r="W2" s="1" t="s">
        <v>37</v>
      </c>
      <c r="X2" s="1" t="s">
        <v>38</v>
      </c>
      <c r="Y2" s="1" t="s">
        <v>39</v>
      </c>
      <c r="Z2" s="1">
        <v>1.027</v>
      </c>
      <c r="AA2" s="1">
        <v>1.018</v>
      </c>
      <c r="AB2" s="1">
        <v>1.035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ht="13.85" spans="1:104">
      <c r="A3" s="1">
        <v>33</v>
      </c>
      <c r="B3" s="1">
        <v>2</v>
      </c>
      <c r="C3" s="1"/>
      <c r="D3" s="1">
        <v>2020</v>
      </c>
      <c r="E3" s="1"/>
      <c r="F3" s="1" t="s">
        <v>40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/>
      <c r="M3" s="1"/>
      <c r="N3" s="1" t="s">
        <v>32</v>
      </c>
      <c r="O3" s="1"/>
      <c r="P3" s="1"/>
      <c r="Q3" s="1" t="s">
        <v>33</v>
      </c>
      <c r="R3" s="1" t="s">
        <v>34</v>
      </c>
      <c r="S3" s="1"/>
      <c r="T3" s="1" t="s">
        <v>35</v>
      </c>
      <c r="U3" s="1">
        <v>13.5</v>
      </c>
      <c r="V3" s="1" t="s">
        <v>36</v>
      </c>
      <c r="W3" s="1" t="s">
        <v>37</v>
      </c>
      <c r="X3" s="1" t="s">
        <v>38</v>
      </c>
      <c r="Y3" s="1" t="s">
        <v>39</v>
      </c>
      <c r="Z3" s="1">
        <v>1.034</v>
      </c>
      <c r="AA3" s="1">
        <v>1.028</v>
      </c>
      <c r="AB3" s="1">
        <v>1.037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ht="13.85" spans="1:104">
      <c r="A4" s="1">
        <v>33</v>
      </c>
      <c r="B4" s="1">
        <v>3</v>
      </c>
      <c r="C4" s="1"/>
      <c r="D4" s="1">
        <v>2020</v>
      </c>
      <c r="E4" s="1"/>
      <c r="F4" s="1" t="s">
        <v>26</v>
      </c>
      <c r="G4" s="1" t="s">
        <v>41</v>
      </c>
      <c r="H4" s="1" t="s">
        <v>28</v>
      </c>
      <c r="I4" s="1" t="s">
        <v>29</v>
      </c>
      <c r="J4" s="1" t="s">
        <v>30</v>
      </c>
      <c r="K4" s="1" t="s">
        <v>31</v>
      </c>
      <c r="L4" s="1"/>
      <c r="M4" s="1"/>
      <c r="N4" s="1" t="s">
        <v>32</v>
      </c>
      <c r="O4" s="1"/>
      <c r="P4" s="1"/>
      <c r="Q4" s="1" t="s">
        <v>33</v>
      </c>
      <c r="R4" s="1" t="s">
        <v>34</v>
      </c>
      <c r="S4" s="1"/>
      <c r="T4" s="1" t="s">
        <v>35</v>
      </c>
      <c r="U4" s="1">
        <v>13.5</v>
      </c>
      <c r="V4" s="1" t="s">
        <v>36</v>
      </c>
      <c r="W4" s="1" t="s">
        <v>37</v>
      </c>
      <c r="X4" s="1" t="s">
        <v>38</v>
      </c>
      <c r="Y4" s="1" t="s">
        <v>39</v>
      </c>
      <c r="Z4" s="1">
        <v>1.01</v>
      </c>
      <c r="AA4" s="1">
        <v>0.994</v>
      </c>
      <c r="AB4" s="1">
        <v>1.023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ht="13.85" spans="1:104">
      <c r="A5" s="1">
        <v>33</v>
      </c>
      <c r="B5" s="1">
        <v>4</v>
      </c>
      <c r="C5" s="1"/>
      <c r="D5" s="1">
        <v>2020</v>
      </c>
      <c r="E5" s="1"/>
      <c r="F5" s="1" t="s">
        <v>40</v>
      </c>
      <c r="G5" s="1" t="s">
        <v>41</v>
      </c>
      <c r="H5" s="1" t="s">
        <v>28</v>
      </c>
      <c r="I5" s="1" t="s">
        <v>29</v>
      </c>
      <c r="J5" s="1" t="s">
        <v>30</v>
      </c>
      <c r="K5" s="1" t="s">
        <v>31</v>
      </c>
      <c r="L5" s="1"/>
      <c r="M5" s="1"/>
      <c r="N5" s="1" t="s">
        <v>32</v>
      </c>
      <c r="O5" s="1"/>
      <c r="P5" s="1"/>
      <c r="Q5" s="1" t="s">
        <v>33</v>
      </c>
      <c r="R5" s="1" t="s">
        <v>34</v>
      </c>
      <c r="S5" s="1"/>
      <c r="T5" s="1" t="s">
        <v>35</v>
      </c>
      <c r="U5" s="1">
        <v>13.5</v>
      </c>
      <c r="V5" s="1" t="s">
        <v>36</v>
      </c>
      <c r="W5" s="1" t="s">
        <v>37</v>
      </c>
      <c r="X5" s="1" t="s">
        <v>38</v>
      </c>
      <c r="Y5" s="1" t="s">
        <v>39</v>
      </c>
      <c r="Z5" s="1">
        <v>1.032</v>
      </c>
      <c r="AA5" s="1">
        <v>1.024</v>
      </c>
      <c r="AB5" s="1">
        <v>1.04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ht="13.85" spans="1:104">
      <c r="A6" s="1">
        <v>33</v>
      </c>
      <c r="B6" s="1">
        <v>5</v>
      </c>
      <c r="C6" s="1"/>
      <c r="D6" s="1">
        <v>2020</v>
      </c>
      <c r="E6" s="1"/>
      <c r="F6" s="1" t="s">
        <v>26</v>
      </c>
      <c r="G6" s="1" t="s">
        <v>42</v>
      </c>
      <c r="H6" s="1" t="s">
        <v>28</v>
      </c>
      <c r="I6" s="1" t="s">
        <v>29</v>
      </c>
      <c r="J6" s="1" t="s">
        <v>30</v>
      </c>
      <c r="K6" s="1" t="s">
        <v>31</v>
      </c>
      <c r="L6" s="1"/>
      <c r="M6" s="1"/>
      <c r="N6" s="1" t="s">
        <v>32</v>
      </c>
      <c r="O6" s="1"/>
      <c r="P6" s="1"/>
      <c r="Q6" s="1" t="s">
        <v>33</v>
      </c>
      <c r="R6" s="1" t="s">
        <v>34</v>
      </c>
      <c r="S6" s="1"/>
      <c r="T6" s="1" t="s">
        <v>35</v>
      </c>
      <c r="U6" s="1">
        <v>13.5</v>
      </c>
      <c r="V6" s="1" t="s">
        <v>36</v>
      </c>
      <c r="W6" s="1" t="s">
        <v>37</v>
      </c>
      <c r="X6" s="1" t="s">
        <v>38</v>
      </c>
      <c r="Y6" s="1" t="s">
        <v>39</v>
      </c>
      <c r="Z6" s="1">
        <v>1.029</v>
      </c>
      <c r="AA6" s="1">
        <v>1.015</v>
      </c>
      <c r="AB6" s="1">
        <v>1.044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ht="13.85" spans="1:104">
      <c r="A7" s="1">
        <v>33</v>
      </c>
      <c r="B7" s="1">
        <v>6</v>
      </c>
      <c r="C7" s="1"/>
      <c r="D7" s="1">
        <v>2020</v>
      </c>
      <c r="E7" s="1"/>
      <c r="F7" s="1" t="s">
        <v>40</v>
      </c>
      <c r="G7" s="1" t="s">
        <v>42</v>
      </c>
      <c r="H7" s="1" t="s">
        <v>28</v>
      </c>
      <c r="I7" s="1" t="s">
        <v>29</v>
      </c>
      <c r="J7" s="1" t="s">
        <v>30</v>
      </c>
      <c r="K7" s="1" t="s">
        <v>31</v>
      </c>
      <c r="L7" s="1"/>
      <c r="M7" s="1"/>
      <c r="N7" s="1" t="s">
        <v>32</v>
      </c>
      <c r="O7" s="1"/>
      <c r="P7" s="1"/>
      <c r="Q7" s="1" t="s">
        <v>33</v>
      </c>
      <c r="R7" s="1" t="s">
        <v>34</v>
      </c>
      <c r="S7" s="1"/>
      <c r="T7" s="1" t="s">
        <v>35</v>
      </c>
      <c r="U7" s="1">
        <v>13.5</v>
      </c>
      <c r="V7" s="1" t="s">
        <v>36</v>
      </c>
      <c r="W7" s="1" t="s">
        <v>37</v>
      </c>
      <c r="X7" s="1" t="s">
        <v>38</v>
      </c>
      <c r="Y7" s="1" t="s">
        <v>39</v>
      </c>
      <c r="Z7" s="1">
        <v>1.031</v>
      </c>
      <c r="AA7" s="1">
        <v>1.024</v>
      </c>
      <c r="AB7" s="1">
        <v>1.039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ht="13.85" spans="1:104">
      <c r="A8" s="1">
        <v>43</v>
      </c>
      <c r="B8" s="1">
        <v>1</v>
      </c>
      <c r="C8" s="1" t="s">
        <v>43</v>
      </c>
      <c r="D8" s="1">
        <v>2022</v>
      </c>
      <c r="E8" s="1" t="s">
        <v>44</v>
      </c>
      <c r="F8" s="1" t="s">
        <v>45</v>
      </c>
      <c r="G8" s="1" t="s">
        <v>46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50</v>
      </c>
      <c r="M8" s="1">
        <v>0.4375</v>
      </c>
      <c r="N8" s="1" t="s">
        <v>51</v>
      </c>
      <c r="O8" s="1"/>
      <c r="P8" s="1" t="s">
        <v>52</v>
      </c>
      <c r="Q8" s="1" t="s">
        <v>53</v>
      </c>
      <c r="R8" s="1" t="s">
        <v>34</v>
      </c>
      <c r="S8" s="1"/>
      <c r="T8" s="1"/>
      <c r="U8" s="1"/>
      <c r="V8" s="1"/>
      <c r="W8" s="1" t="s">
        <v>54</v>
      </c>
      <c r="X8" s="1" t="s">
        <v>38</v>
      </c>
      <c r="Y8" s="1" t="s">
        <v>55</v>
      </c>
      <c r="Z8" s="1">
        <v>1.0252</v>
      </c>
      <c r="AA8" s="1">
        <v>1.0104</v>
      </c>
      <c r="AB8" s="1">
        <v>1.0399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ht="13.9" spans="1:104">
      <c r="A9" s="1">
        <v>146</v>
      </c>
      <c r="B9" s="1">
        <v>1</v>
      </c>
      <c r="C9" s="1" t="s">
        <v>56</v>
      </c>
      <c r="D9" s="1">
        <v>2017</v>
      </c>
      <c r="E9" s="1" t="s">
        <v>57</v>
      </c>
      <c r="F9" s="1" t="s">
        <v>26</v>
      </c>
      <c r="G9" s="1" t="s">
        <v>58</v>
      </c>
      <c r="H9" s="1" t="s">
        <v>58</v>
      </c>
      <c r="I9" s="1" t="s">
        <v>59</v>
      </c>
      <c r="J9" s="1" t="s">
        <v>48</v>
      </c>
      <c r="K9" s="1" t="s">
        <v>31</v>
      </c>
      <c r="L9" s="1" t="s">
        <v>60</v>
      </c>
      <c r="M9" s="1"/>
      <c r="N9" s="1" t="s">
        <v>61</v>
      </c>
      <c r="O9" s="1"/>
      <c r="P9" s="1" t="s">
        <v>62</v>
      </c>
      <c r="Q9" s="1" t="s">
        <v>63</v>
      </c>
      <c r="R9" s="1" t="s">
        <v>34</v>
      </c>
      <c r="S9" s="1"/>
      <c r="T9" s="1" t="s">
        <v>64</v>
      </c>
      <c r="U9" s="1">
        <v>12.5</v>
      </c>
      <c r="V9" s="1" t="s">
        <v>36</v>
      </c>
      <c r="W9" s="1" t="s">
        <v>37</v>
      </c>
      <c r="X9" s="1" t="s">
        <v>38</v>
      </c>
      <c r="Y9" s="1" t="s">
        <v>39</v>
      </c>
      <c r="Z9" s="1">
        <v>1.0112</v>
      </c>
      <c r="AA9" s="1">
        <v>0.9959</v>
      </c>
      <c r="AB9" s="1">
        <v>1.0268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</row>
    <row r="10" ht="13.85" spans="1:104">
      <c r="A10" s="1">
        <v>146</v>
      </c>
      <c r="B10" s="1">
        <v>2</v>
      </c>
      <c r="C10" s="1"/>
      <c r="D10" s="1">
        <v>2017</v>
      </c>
      <c r="E10" s="1"/>
      <c r="F10" s="1" t="s">
        <v>40</v>
      </c>
      <c r="G10" s="1" t="s">
        <v>58</v>
      </c>
      <c r="H10" s="1" t="s">
        <v>58</v>
      </c>
      <c r="I10" s="1" t="s">
        <v>59</v>
      </c>
      <c r="J10" s="1" t="s">
        <v>48</v>
      </c>
      <c r="K10" s="1" t="s">
        <v>31</v>
      </c>
      <c r="L10" s="1"/>
      <c r="M10" s="1"/>
      <c r="N10" s="1"/>
      <c r="O10" s="1"/>
      <c r="P10" s="1"/>
      <c r="Q10" s="1" t="s">
        <v>63</v>
      </c>
      <c r="R10" s="1" t="s">
        <v>34</v>
      </c>
      <c r="S10" s="1"/>
      <c r="T10" s="1" t="s">
        <v>64</v>
      </c>
      <c r="U10" s="1">
        <v>12.5</v>
      </c>
      <c r="V10" s="1" t="s">
        <v>36</v>
      </c>
      <c r="W10" s="1" t="s">
        <v>37</v>
      </c>
      <c r="X10" s="1" t="s">
        <v>38</v>
      </c>
      <c r="Y10" s="1" t="s">
        <v>39</v>
      </c>
      <c r="Z10" s="1">
        <v>1.0186</v>
      </c>
      <c r="AA10" s="1">
        <v>1.0109</v>
      </c>
      <c r="AB10" s="1">
        <v>1.0263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</row>
    <row r="11" ht="13.85" spans="1:104">
      <c r="A11" s="1">
        <v>209</v>
      </c>
      <c r="B11" s="1">
        <v>1</v>
      </c>
      <c r="C11" s="1" t="s">
        <v>65</v>
      </c>
      <c r="D11" s="1">
        <v>2022</v>
      </c>
      <c r="E11" s="1" t="s">
        <v>66</v>
      </c>
      <c r="F11" s="1" t="s">
        <v>26</v>
      </c>
      <c r="G11" s="1" t="s">
        <v>67</v>
      </c>
      <c r="H11" s="1" t="s">
        <v>67</v>
      </c>
      <c r="I11" s="1" t="s">
        <v>29</v>
      </c>
      <c r="J11" s="1" t="s">
        <v>30</v>
      </c>
      <c r="K11" s="1" t="s">
        <v>31</v>
      </c>
      <c r="L11" s="1">
        <v>205002</v>
      </c>
      <c r="M11" s="1">
        <v>0.488</v>
      </c>
      <c r="N11" s="1" t="s">
        <v>32</v>
      </c>
      <c r="O11" s="1"/>
      <c r="P11" s="1" t="s">
        <v>68</v>
      </c>
      <c r="Q11" s="1" t="s">
        <v>69</v>
      </c>
      <c r="R11" s="1" t="s">
        <v>34</v>
      </c>
      <c r="S11" s="1"/>
      <c r="T11" s="1" t="s">
        <v>70</v>
      </c>
      <c r="U11" s="1">
        <v>2</v>
      </c>
      <c r="V11" s="1" t="s">
        <v>36</v>
      </c>
      <c r="W11" s="1" t="s">
        <v>71</v>
      </c>
      <c r="X11" s="1" t="s">
        <v>38</v>
      </c>
      <c r="Y11" s="1" t="s">
        <v>55</v>
      </c>
      <c r="Z11" s="1">
        <v>1.0016</v>
      </c>
      <c r="AA11" s="1">
        <v>0.9993</v>
      </c>
      <c r="AB11" s="1">
        <v>1.0039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ht="13.85" spans="1:104">
      <c r="A12" s="1">
        <v>209</v>
      </c>
      <c r="B12" s="1">
        <v>2</v>
      </c>
      <c r="C12" s="1"/>
      <c r="D12" s="1">
        <v>2022</v>
      </c>
      <c r="E12" s="1"/>
      <c r="F12" s="1" t="s">
        <v>72</v>
      </c>
      <c r="G12" s="1" t="s">
        <v>67</v>
      </c>
      <c r="H12" s="1" t="s">
        <v>67</v>
      </c>
      <c r="I12" s="1" t="s">
        <v>29</v>
      </c>
      <c r="J12" s="1" t="s">
        <v>30</v>
      </c>
      <c r="K12" s="1" t="s">
        <v>31</v>
      </c>
      <c r="L12" s="1"/>
      <c r="M12" s="1">
        <v>0.488</v>
      </c>
      <c r="N12" s="1" t="s">
        <v>32</v>
      </c>
      <c r="O12" s="1"/>
      <c r="P12" s="1"/>
      <c r="Q12" s="1" t="s">
        <v>69</v>
      </c>
      <c r="R12" s="1" t="s">
        <v>34</v>
      </c>
      <c r="S12" s="1"/>
      <c r="T12" s="1" t="s">
        <v>70</v>
      </c>
      <c r="U12" s="1">
        <v>2</v>
      </c>
      <c r="V12" s="1" t="s">
        <v>36</v>
      </c>
      <c r="W12" s="1" t="s">
        <v>71</v>
      </c>
      <c r="X12" s="1" t="s">
        <v>38</v>
      </c>
      <c r="Y12" s="1" t="s">
        <v>55</v>
      </c>
      <c r="Z12" s="1">
        <v>0.994</v>
      </c>
      <c r="AA12" s="1">
        <v>0.9906</v>
      </c>
      <c r="AB12" s="1">
        <v>1.0026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</row>
    <row r="13" ht="13.85" spans="1:104">
      <c r="A13" s="1">
        <v>209</v>
      </c>
      <c r="B13" s="1">
        <v>3</v>
      </c>
      <c r="C13" s="1"/>
      <c r="D13" s="1">
        <v>2022</v>
      </c>
      <c r="E13" s="1"/>
      <c r="F13" s="1" t="s">
        <v>73</v>
      </c>
      <c r="G13" s="1" t="s">
        <v>67</v>
      </c>
      <c r="H13" s="1" t="s">
        <v>67</v>
      </c>
      <c r="I13" s="1" t="s">
        <v>29</v>
      </c>
      <c r="J13" s="1" t="s">
        <v>30</v>
      </c>
      <c r="K13" s="1" t="s">
        <v>31</v>
      </c>
      <c r="L13" s="1"/>
      <c r="M13" s="1">
        <v>0.488</v>
      </c>
      <c r="N13" s="1" t="s">
        <v>32</v>
      </c>
      <c r="O13" s="1"/>
      <c r="P13" s="1"/>
      <c r="Q13" s="1" t="s">
        <v>69</v>
      </c>
      <c r="R13" s="1" t="s">
        <v>34</v>
      </c>
      <c r="S13" s="1"/>
      <c r="T13" s="1" t="s">
        <v>70</v>
      </c>
      <c r="U13" s="1">
        <v>2</v>
      </c>
      <c r="V13" s="1" t="s">
        <v>36</v>
      </c>
      <c r="W13" s="1" t="s">
        <v>71</v>
      </c>
      <c r="X13" s="1" t="s">
        <v>38</v>
      </c>
      <c r="Y13" s="1" t="s">
        <v>55</v>
      </c>
      <c r="Z13" s="1">
        <v>0.995</v>
      </c>
      <c r="AA13" s="1">
        <v>0.992</v>
      </c>
      <c r="AB13" s="1">
        <v>1.002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r="14" ht="13.85" spans="1:104">
      <c r="A14" s="1">
        <v>209</v>
      </c>
      <c r="B14" s="1">
        <v>4</v>
      </c>
      <c r="C14" s="1"/>
      <c r="D14" s="1">
        <v>2022</v>
      </c>
      <c r="E14" s="1"/>
      <c r="F14" s="1" t="s">
        <v>74</v>
      </c>
      <c r="G14" s="1" t="s">
        <v>67</v>
      </c>
      <c r="H14" s="1" t="s">
        <v>67</v>
      </c>
      <c r="I14" s="1" t="s">
        <v>29</v>
      </c>
      <c r="J14" s="1" t="s">
        <v>30</v>
      </c>
      <c r="K14" s="1" t="s">
        <v>31</v>
      </c>
      <c r="L14" s="1"/>
      <c r="M14" s="1">
        <v>0.488</v>
      </c>
      <c r="N14" s="1" t="s">
        <v>32</v>
      </c>
      <c r="O14" s="1"/>
      <c r="P14" s="1"/>
      <c r="Q14" s="1" t="s">
        <v>69</v>
      </c>
      <c r="R14" s="1" t="s">
        <v>34</v>
      </c>
      <c r="S14" s="1"/>
      <c r="T14" s="1" t="s">
        <v>70</v>
      </c>
      <c r="U14" s="1">
        <v>2</v>
      </c>
      <c r="V14" s="1" t="s">
        <v>36</v>
      </c>
      <c r="W14" s="1" t="s">
        <v>71</v>
      </c>
      <c r="X14" s="1" t="s">
        <v>38</v>
      </c>
      <c r="Y14" s="1" t="s">
        <v>55</v>
      </c>
      <c r="Z14" s="1">
        <v>0.9942</v>
      </c>
      <c r="AA14" s="1">
        <v>0.9916</v>
      </c>
      <c r="AB14" s="1">
        <v>1.003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r="15" ht="13.85" spans="1:104">
      <c r="A15" s="1">
        <v>209</v>
      </c>
      <c r="B15" s="1">
        <v>5</v>
      </c>
      <c r="C15" s="1"/>
      <c r="D15" s="1">
        <v>2022</v>
      </c>
      <c r="E15" s="1"/>
      <c r="F15" s="1" t="s">
        <v>75</v>
      </c>
      <c r="G15" s="1" t="s">
        <v>67</v>
      </c>
      <c r="H15" s="1" t="s">
        <v>67</v>
      </c>
      <c r="I15" s="1" t="s">
        <v>29</v>
      </c>
      <c r="J15" s="1" t="s">
        <v>30</v>
      </c>
      <c r="K15" s="1" t="s">
        <v>31</v>
      </c>
      <c r="L15" s="1"/>
      <c r="M15" s="1">
        <v>0.488</v>
      </c>
      <c r="N15" s="1" t="s">
        <v>32</v>
      </c>
      <c r="O15" s="1"/>
      <c r="P15" s="1"/>
      <c r="Q15" s="1" t="s">
        <v>69</v>
      </c>
      <c r="R15" s="1" t="s">
        <v>34</v>
      </c>
      <c r="S15" s="1"/>
      <c r="T15" s="1" t="s">
        <v>70</v>
      </c>
      <c r="U15" s="1">
        <v>2</v>
      </c>
      <c r="V15" s="1" t="s">
        <v>36</v>
      </c>
      <c r="W15" s="1" t="s">
        <v>71</v>
      </c>
      <c r="X15" s="1" t="s">
        <v>38</v>
      </c>
      <c r="Y15" s="1" t="s">
        <v>55</v>
      </c>
      <c r="Z15" s="1">
        <v>0.9914</v>
      </c>
      <c r="AA15" s="1">
        <v>0.9893</v>
      </c>
      <c r="AB15" s="1">
        <v>1.0065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</row>
    <row r="16" ht="13.85" spans="1:104">
      <c r="A16" s="1">
        <v>229</v>
      </c>
      <c r="B16" s="1">
        <v>1</v>
      </c>
      <c r="C16" s="1"/>
      <c r="D16" s="1">
        <v>2016</v>
      </c>
      <c r="E16" s="1"/>
      <c r="F16" s="1" t="s">
        <v>40</v>
      </c>
      <c r="G16" s="1" t="s">
        <v>76</v>
      </c>
      <c r="H16" s="1" t="s">
        <v>76</v>
      </c>
      <c r="I16" s="1" t="s">
        <v>47</v>
      </c>
      <c r="J16" s="1" t="s">
        <v>48</v>
      </c>
      <c r="K16" s="1" t="s">
        <v>49</v>
      </c>
      <c r="L16" s="1"/>
      <c r="M16" s="1">
        <v>0.55</v>
      </c>
      <c r="N16" s="1" t="s">
        <v>32</v>
      </c>
      <c r="O16" s="1"/>
      <c r="P16" s="1"/>
      <c r="Q16" s="1" t="s">
        <v>77</v>
      </c>
      <c r="R16" s="1" t="s">
        <v>34</v>
      </c>
      <c r="S16" s="1"/>
      <c r="T16" s="1" t="s">
        <v>78</v>
      </c>
      <c r="U16" s="1"/>
      <c r="V16" s="1"/>
      <c r="W16" s="1" t="s">
        <v>79</v>
      </c>
      <c r="X16" s="1" t="s">
        <v>38</v>
      </c>
      <c r="Y16" s="1" t="s">
        <v>39</v>
      </c>
      <c r="Z16" s="1">
        <v>1.42</v>
      </c>
      <c r="AA16" s="1">
        <v>1.14</v>
      </c>
      <c r="AB16" s="1">
        <v>1.77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ht="13.9" spans="1:104">
      <c r="A17" s="1">
        <v>361</v>
      </c>
      <c r="B17" s="1">
        <v>1</v>
      </c>
      <c r="C17" s="1" t="s">
        <v>80</v>
      </c>
      <c r="D17" s="1">
        <v>2015</v>
      </c>
      <c r="E17" s="1" t="s">
        <v>81</v>
      </c>
      <c r="F17" s="1" t="s">
        <v>26</v>
      </c>
      <c r="G17" s="1" t="s">
        <v>82</v>
      </c>
      <c r="H17" s="1" t="s">
        <v>82</v>
      </c>
      <c r="I17" s="1" t="s">
        <v>47</v>
      </c>
      <c r="J17" s="1" t="s">
        <v>83</v>
      </c>
      <c r="K17" s="1" t="s">
        <v>49</v>
      </c>
      <c r="L17" s="1" t="s">
        <v>84</v>
      </c>
      <c r="M17" s="1">
        <v>0.582</v>
      </c>
      <c r="N17" s="1" t="s">
        <v>32</v>
      </c>
      <c r="O17" s="1"/>
      <c r="P17" s="1" t="s">
        <v>85</v>
      </c>
      <c r="Q17" s="1" t="s">
        <v>86</v>
      </c>
      <c r="R17" s="1" t="s">
        <v>34</v>
      </c>
      <c r="S17" s="1"/>
      <c r="T17" s="1" t="s">
        <v>78</v>
      </c>
      <c r="U17" s="1">
        <v>10.5</v>
      </c>
      <c r="V17" s="1" t="s">
        <v>36</v>
      </c>
      <c r="W17" s="1" t="s">
        <v>87</v>
      </c>
      <c r="X17" s="1" t="s">
        <v>38</v>
      </c>
      <c r="Y17" s="1" t="s">
        <v>39</v>
      </c>
      <c r="Z17" s="1">
        <v>1.0349</v>
      </c>
      <c r="AA17" s="1">
        <v>1.0281</v>
      </c>
      <c r="AB17" s="1">
        <v>1.0418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ht="13.9" spans="1:104">
      <c r="A18" s="1">
        <v>361</v>
      </c>
      <c r="B18" s="1">
        <v>2</v>
      </c>
      <c r="C18" s="1"/>
      <c r="D18" s="1">
        <v>2015</v>
      </c>
      <c r="E18" s="1"/>
      <c r="F18" s="1" t="s">
        <v>88</v>
      </c>
      <c r="G18" s="1" t="s">
        <v>82</v>
      </c>
      <c r="H18" s="1" t="s">
        <v>82</v>
      </c>
      <c r="I18" s="1" t="s">
        <v>47</v>
      </c>
      <c r="J18" s="1" t="s">
        <v>83</v>
      </c>
      <c r="K18" s="1" t="s">
        <v>49</v>
      </c>
      <c r="L18" s="1"/>
      <c r="M18" s="1">
        <v>0.582</v>
      </c>
      <c r="N18" s="1" t="s">
        <v>32</v>
      </c>
      <c r="O18" s="1"/>
      <c r="P18" s="1" t="s">
        <v>85</v>
      </c>
      <c r="Q18" s="1" t="s">
        <v>86</v>
      </c>
      <c r="R18" s="1" t="s">
        <v>34</v>
      </c>
      <c r="S18" s="1"/>
      <c r="T18" s="1" t="s">
        <v>78</v>
      </c>
      <c r="U18" s="1">
        <v>10.5</v>
      </c>
      <c r="V18" s="1" t="s">
        <v>36</v>
      </c>
      <c r="W18" s="1" t="s">
        <v>87</v>
      </c>
      <c r="X18" s="1" t="s">
        <v>38</v>
      </c>
      <c r="Y18" s="1" t="s">
        <v>39</v>
      </c>
      <c r="Z18" s="1">
        <v>1.0372</v>
      </c>
      <c r="AA18" s="1">
        <v>1.0312</v>
      </c>
      <c r="AB18" s="1">
        <v>1.0433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ht="13.9" spans="1:104">
      <c r="A19" s="1">
        <v>361</v>
      </c>
      <c r="B19" s="1">
        <v>3</v>
      </c>
      <c r="C19" s="1"/>
      <c r="D19" s="1">
        <v>2015</v>
      </c>
      <c r="E19" s="1"/>
      <c r="F19" s="1" t="s">
        <v>89</v>
      </c>
      <c r="G19" s="1" t="s">
        <v>82</v>
      </c>
      <c r="H19" s="1" t="s">
        <v>82</v>
      </c>
      <c r="I19" s="1" t="s">
        <v>47</v>
      </c>
      <c r="J19" s="1" t="s">
        <v>83</v>
      </c>
      <c r="K19" s="1" t="s">
        <v>49</v>
      </c>
      <c r="L19" s="1"/>
      <c r="M19" s="1">
        <v>0.582</v>
      </c>
      <c r="N19" s="1" t="s">
        <v>32</v>
      </c>
      <c r="O19" s="1"/>
      <c r="P19" s="1" t="s">
        <v>85</v>
      </c>
      <c r="Q19" s="1" t="s">
        <v>86</v>
      </c>
      <c r="R19" s="1" t="s">
        <v>34</v>
      </c>
      <c r="S19" s="1"/>
      <c r="T19" s="1" t="s">
        <v>78</v>
      </c>
      <c r="U19" s="1">
        <v>10.5</v>
      </c>
      <c r="V19" s="1" t="s">
        <v>36</v>
      </c>
      <c r="W19" s="1" t="s">
        <v>87</v>
      </c>
      <c r="X19" s="1" t="s">
        <v>38</v>
      </c>
      <c r="Y19" s="1" t="s">
        <v>39</v>
      </c>
      <c r="Z19" s="1">
        <v>1.0411</v>
      </c>
      <c r="AA19" s="1">
        <v>1.0353</v>
      </c>
      <c r="AB19" s="1">
        <v>1.0469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ht="13.85" spans="1:104">
      <c r="A20" s="1">
        <v>369</v>
      </c>
      <c r="B20" s="1">
        <v>1</v>
      </c>
      <c r="C20" s="1"/>
      <c r="D20" s="1">
        <v>2017</v>
      </c>
      <c r="E20" s="1"/>
      <c r="F20" s="1" t="s">
        <v>90</v>
      </c>
      <c r="G20" s="1" t="s">
        <v>91</v>
      </c>
      <c r="H20" s="1" t="s">
        <v>92</v>
      </c>
      <c r="I20" s="1" t="s">
        <v>47</v>
      </c>
      <c r="J20" s="1" t="s">
        <v>93</v>
      </c>
      <c r="K20" s="1" t="s">
        <v>94</v>
      </c>
      <c r="L20" s="1"/>
      <c r="M20" s="1">
        <v>0.6044</v>
      </c>
      <c r="N20" s="1" t="s">
        <v>51</v>
      </c>
      <c r="O20" s="1"/>
      <c r="P20" s="1" t="s">
        <v>95</v>
      </c>
      <c r="Q20" s="1" t="s">
        <v>96</v>
      </c>
      <c r="R20" s="1" t="s">
        <v>34</v>
      </c>
      <c r="S20" s="1"/>
      <c r="T20" s="1" t="s">
        <v>97</v>
      </c>
      <c r="U20" s="1">
        <v>6.5</v>
      </c>
      <c r="V20" s="1" t="s">
        <v>36</v>
      </c>
      <c r="W20" s="1" t="s">
        <v>98</v>
      </c>
      <c r="X20" s="1" t="s">
        <v>38</v>
      </c>
      <c r="Y20" s="1" t="s">
        <v>99</v>
      </c>
      <c r="Z20" s="1">
        <v>1.05</v>
      </c>
      <c r="AA20" s="1">
        <v>0.94</v>
      </c>
      <c r="AB20" s="1">
        <v>1.16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ht="13.85" spans="1:104">
      <c r="A21" s="1">
        <v>369</v>
      </c>
      <c r="B21" s="1">
        <v>2</v>
      </c>
      <c r="C21" s="1"/>
      <c r="D21" s="1">
        <v>2017</v>
      </c>
      <c r="E21" s="1"/>
      <c r="F21" s="1" t="s">
        <v>100</v>
      </c>
      <c r="G21" s="1" t="s">
        <v>91</v>
      </c>
      <c r="H21" s="1" t="s">
        <v>92</v>
      </c>
      <c r="I21" s="1" t="s">
        <v>47</v>
      </c>
      <c r="J21" s="1" t="s">
        <v>93</v>
      </c>
      <c r="K21" s="1" t="s">
        <v>94</v>
      </c>
      <c r="L21" s="1"/>
      <c r="M21" s="1">
        <v>0.6044</v>
      </c>
      <c r="N21" s="1" t="s">
        <v>51</v>
      </c>
      <c r="O21" s="1"/>
      <c r="P21" s="1" t="s">
        <v>95</v>
      </c>
      <c r="Q21" s="1" t="s">
        <v>96</v>
      </c>
      <c r="R21" s="1" t="s">
        <v>34</v>
      </c>
      <c r="S21" s="1"/>
      <c r="T21" s="1" t="s">
        <v>97</v>
      </c>
      <c r="U21" s="1">
        <v>6.5</v>
      </c>
      <c r="V21" s="1" t="s">
        <v>36</v>
      </c>
      <c r="W21" s="1" t="s">
        <v>98</v>
      </c>
      <c r="X21" s="1" t="s">
        <v>38</v>
      </c>
      <c r="Y21" s="1" t="s">
        <v>99</v>
      </c>
      <c r="Z21" s="1">
        <v>1.13</v>
      </c>
      <c r="AA21" s="1">
        <v>0.97</v>
      </c>
      <c r="AB21" s="1">
        <v>1.33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ht="13.85" spans="1:104">
      <c r="A22" s="1">
        <v>735</v>
      </c>
      <c r="B22" s="1">
        <v>1</v>
      </c>
      <c r="C22" s="1"/>
      <c r="D22" s="1">
        <v>2011</v>
      </c>
      <c r="E22" s="1"/>
      <c r="F22" s="1" t="s">
        <v>90</v>
      </c>
      <c r="G22" s="1" t="s">
        <v>101</v>
      </c>
      <c r="H22" s="1" t="s">
        <v>101</v>
      </c>
      <c r="I22" s="1" t="s">
        <v>29</v>
      </c>
      <c r="J22" s="1" t="s">
        <v>102</v>
      </c>
      <c r="K22" s="1" t="s">
        <v>31</v>
      </c>
      <c r="L22" s="1"/>
      <c r="M22" s="1"/>
      <c r="N22" s="1" t="s">
        <v>32</v>
      </c>
      <c r="O22" s="1"/>
      <c r="P22" s="1"/>
      <c r="Q22" s="1" t="s">
        <v>103</v>
      </c>
      <c r="R22" s="1" t="s">
        <v>34</v>
      </c>
      <c r="S22" s="1"/>
      <c r="T22" s="1" t="s">
        <v>104</v>
      </c>
      <c r="U22" s="1">
        <v>0.5</v>
      </c>
      <c r="V22" s="1" t="s">
        <v>36</v>
      </c>
      <c r="W22" s="1" t="s">
        <v>105</v>
      </c>
      <c r="X22" s="1" t="s">
        <v>38</v>
      </c>
      <c r="Y22" s="1" t="s">
        <v>39</v>
      </c>
      <c r="Z22" s="1">
        <v>1.004</v>
      </c>
      <c r="AA22" s="1">
        <v>0.996</v>
      </c>
      <c r="AB22" s="1">
        <v>1.011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ht="13.85" spans="1:104">
      <c r="A23" s="1">
        <v>735</v>
      </c>
      <c r="B23" s="1">
        <v>2</v>
      </c>
      <c r="C23" s="1"/>
      <c r="D23" s="1">
        <v>2011</v>
      </c>
      <c r="E23" s="1"/>
      <c r="F23" s="1" t="s">
        <v>100</v>
      </c>
      <c r="G23" s="1" t="s">
        <v>101</v>
      </c>
      <c r="H23" s="1" t="s">
        <v>101</v>
      </c>
      <c r="I23" s="1" t="s">
        <v>29</v>
      </c>
      <c r="J23" s="1" t="s">
        <v>102</v>
      </c>
      <c r="K23" s="1" t="s">
        <v>31</v>
      </c>
      <c r="L23" s="1"/>
      <c r="M23" s="1"/>
      <c r="N23" s="1" t="s">
        <v>32</v>
      </c>
      <c r="O23" s="1"/>
      <c r="P23" s="1"/>
      <c r="Q23" s="1"/>
      <c r="R23" s="1" t="s">
        <v>34</v>
      </c>
      <c r="S23" s="1"/>
      <c r="T23" s="1" t="s">
        <v>104</v>
      </c>
      <c r="U23" s="1">
        <v>0.5</v>
      </c>
      <c r="V23" s="1" t="s">
        <v>36</v>
      </c>
      <c r="W23" s="1" t="s">
        <v>105</v>
      </c>
      <c r="X23" s="1" t="s">
        <v>38</v>
      </c>
      <c r="Y23" s="1" t="s">
        <v>39</v>
      </c>
      <c r="Z23" s="1">
        <v>1.006</v>
      </c>
      <c r="AA23" s="1">
        <v>1</v>
      </c>
      <c r="AB23" s="1">
        <v>1.011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ht="13.85" spans="1:104">
      <c r="A24" s="1">
        <v>876</v>
      </c>
      <c r="B24" s="1">
        <v>1</v>
      </c>
      <c r="C24" s="1"/>
      <c r="D24" s="1">
        <v>2014</v>
      </c>
      <c r="E24" s="1"/>
      <c r="F24" s="1" t="s">
        <v>26</v>
      </c>
      <c r="G24" s="1" t="s">
        <v>106</v>
      </c>
      <c r="H24" s="1" t="s">
        <v>28</v>
      </c>
      <c r="I24" s="1" t="s">
        <v>29</v>
      </c>
      <c r="J24" s="1" t="s">
        <v>30</v>
      </c>
      <c r="K24" s="1" t="s">
        <v>31</v>
      </c>
      <c r="L24" s="1"/>
      <c r="M24" s="1"/>
      <c r="N24" s="1" t="s">
        <v>32</v>
      </c>
      <c r="O24" s="1"/>
      <c r="P24" s="1"/>
      <c r="Q24" s="1" t="s">
        <v>107</v>
      </c>
      <c r="R24" s="1" t="s">
        <v>34</v>
      </c>
      <c r="S24" s="1"/>
      <c r="T24" s="1" t="s">
        <v>104</v>
      </c>
      <c r="U24" s="1">
        <v>0.5</v>
      </c>
      <c r="V24" s="1" t="s">
        <v>36</v>
      </c>
      <c r="W24" s="1" t="s">
        <v>108</v>
      </c>
      <c r="X24" s="1" t="s">
        <v>38</v>
      </c>
      <c r="Y24" s="1" t="s">
        <v>109</v>
      </c>
      <c r="Z24" s="1">
        <v>1.015</v>
      </c>
      <c r="AA24" s="1">
        <v>1.008</v>
      </c>
      <c r="AB24" s="1">
        <v>1.022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ht="13.85" spans="1:104">
      <c r="A25" s="1">
        <v>876</v>
      </c>
      <c r="B25" s="1">
        <v>2</v>
      </c>
      <c r="C25" s="1"/>
      <c r="D25" s="1">
        <v>2014</v>
      </c>
      <c r="E25" s="1"/>
      <c r="F25" s="1" t="s">
        <v>26</v>
      </c>
      <c r="G25" s="1" t="s">
        <v>110</v>
      </c>
      <c r="H25" s="1" t="s">
        <v>28</v>
      </c>
      <c r="I25" s="1" t="s">
        <v>29</v>
      </c>
      <c r="J25" s="1" t="s">
        <v>30</v>
      </c>
      <c r="K25" s="1" t="s">
        <v>31</v>
      </c>
      <c r="L25" s="1"/>
      <c r="M25" s="1"/>
      <c r="N25" s="1" t="s">
        <v>32</v>
      </c>
      <c r="O25" s="1"/>
      <c r="P25" s="1"/>
      <c r="Q25" s="1" t="s">
        <v>107</v>
      </c>
      <c r="R25" s="1" t="s">
        <v>34</v>
      </c>
      <c r="S25" s="1"/>
      <c r="T25" s="1" t="s">
        <v>104</v>
      </c>
      <c r="U25" s="1">
        <v>0.5</v>
      </c>
      <c r="V25" s="1" t="s">
        <v>36</v>
      </c>
      <c r="W25" s="1" t="s">
        <v>108</v>
      </c>
      <c r="X25" s="1" t="s">
        <v>38</v>
      </c>
      <c r="Y25" s="1" t="s">
        <v>109</v>
      </c>
      <c r="Z25" s="1">
        <v>1.013</v>
      </c>
      <c r="AA25" s="1">
        <v>1.008</v>
      </c>
      <c r="AB25" s="1">
        <v>1.017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ht="13.85" spans="1:104">
      <c r="A26" s="1">
        <v>876</v>
      </c>
      <c r="B26" s="1">
        <v>3</v>
      </c>
      <c r="C26" s="1"/>
      <c r="D26" s="1">
        <v>2014</v>
      </c>
      <c r="E26" s="1"/>
      <c r="F26" s="1" t="s">
        <v>26</v>
      </c>
      <c r="G26" s="1" t="s">
        <v>111</v>
      </c>
      <c r="H26" s="1" t="s">
        <v>28</v>
      </c>
      <c r="I26" s="1" t="s">
        <v>29</v>
      </c>
      <c r="J26" s="1" t="s">
        <v>30</v>
      </c>
      <c r="K26" s="1" t="s">
        <v>31</v>
      </c>
      <c r="L26" s="1"/>
      <c r="M26" s="1"/>
      <c r="N26" s="1" t="s">
        <v>32</v>
      </c>
      <c r="O26" s="1"/>
      <c r="P26" s="1"/>
      <c r="Q26" s="1" t="s">
        <v>107</v>
      </c>
      <c r="R26" s="1" t="s">
        <v>34</v>
      </c>
      <c r="S26" s="1"/>
      <c r="T26" s="1" t="s">
        <v>104</v>
      </c>
      <c r="U26" s="1">
        <v>0.5</v>
      </c>
      <c r="V26" s="1" t="s">
        <v>36</v>
      </c>
      <c r="W26" s="1" t="s">
        <v>108</v>
      </c>
      <c r="X26" s="1" t="s">
        <v>38</v>
      </c>
      <c r="Y26" s="1" t="s">
        <v>109</v>
      </c>
      <c r="Z26" s="1">
        <v>1.017</v>
      </c>
      <c r="AA26" s="1">
        <v>1.012</v>
      </c>
      <c r="AB26" s="1">
        <v>1.022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ht="13.85" spans="1:104">
      <c r="A27" s="1">
        <v>876</v>
      </c>
      <c r="B27" s="1">
        <v>4</v>
      </c>
      <c r="C27" s="1"/>
      <c r="D27" s="1">
        <v>2014</v>
      </c>
      <c r="E27" s="1"/>
      <c r="F27" s="1" t="s">
        <v>26</v>
      </c>
      <c r="G27" s="1" t="s">
        <v>112</v>
      </c>
      <c r="H27" s="1" t="s">
        <v>28</v>
      </c>
      <c r="I27" s="1" t="s">
        <v>29</v>
      </c>
      <c r="J27" s="1" t="s">
        <v>30</v>
      </c>
      <c r="K27" s="1" t="s">
        <v>31</v>
      </c>
      <c r="L27" s="1"/>
      <c r="M27" s="1"/>
      <c r="N27" s="1" t="s">
        <v>32</v>
      </c>
      <c r="O27" s="1"/>
      <c r="P27" s="1"/>
      <c r="Q27" s="1" t="s">
        <v>107</v>
      </c>
      <c r="R27" s="1" t="s">
        <v>34</v>
      </c>
      <c r="S27" s="1"/>
      <c r="T27" s="1" t="s">
        <v>104</v>
      </c>
      <c r="U27" s="1">
        <v>0.5</v>
      </c>
      <c r="V27" s="1" t="s">
        <v>36</v>
      </c>
      <c r="W27" s="1" t="s">
        <v>108</v>
      </c>
      <c r="X27" s="1" t="s">
        <v>38</v>
      </c>
      <c r="Y27" s="1" t="s">
        <v>109</v>
      </c>
      <c r="Z27" s="1">
        <v>1.011</v>
      </c>
      <c r="AA27" s="1">
        <v>1.006</v>
      </c>
      <c r="AB27" s="1">
        <v>1.017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ht="13.85" spans="1:104">
      <c r="A28" s="1">
        <v>876</v>
      </c>
      <c r="B28" s="1">
        <v>5</v>
      </c>
      <c r="C28" s="1"/>
      <c r="D28" s="1">
        <v>2014</v>
      </c>
      <c r="E28" s="1"/>
      <c r="F28" s="1" t="s">
        <v>26</v>
      </c>
      <c r="G28" s="1" t="s">
        <v>42</v>
      </c>
      <c r="H28" s="1" t="s">
        <v>28</v>
      </c>
      <c r="I28" s="1" t="s">
        <v>29</v>
      </c>
      <c r="J28" s="1" t="s">
        <v>30</v>
      </c>
      <c r="K28" s="1" t="s">
        <v>31</v>
      </c>
      <c r="L28" s="1"/>
      <c r="M28" s="1"/>
      <c r="N28" s="1" t="s">
        <v>32</v>
      </c>
      <c r="O28" s="1"/>
      <c r="P28" s="1"/>
      <c r="Q28" s="1" t="s">
        <v>107</v>
      </c>
      <c r="R28" s="1" t="s">
        <v>34</v>
      </c>
      <c r="S28" s="1"/>
      <c r="T28" s="1" t="s">
        <v>104</v>
      </c>
      <c r="U28" s="1">
        <v>0.5</v>
      </c>
      <c r="V28" s="1" t="s">
        <v>36</v>
      </c>
      <c r="W28" s="1" t="s">
        <v>108</v>
      </c>
      <c r="X28" s="1" t="s">
        <v>38</v>
      </c>
      <c r="Y28" s="1" t="s">
        <v>109</v>
      </c>
      <c r="Z28" s="1">
        <v>1.014</v>
      </c>
      <c r="AA28" s="1">
        <v>1.009</v>
      </c>
      <c r="AB28" s="1">
        <v>1.019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ht="13.85" spans="1:104">
      <c r="A29" s="1">
        <v>876</v>
      </c>
      <c r="B29" s="1">
        <v>6</v>
      </c>
      <c r="C29" s="1"/>
      <c r="D29" s="1">
        <v>2014</v>
      </c>
      <c r="E29" s="1"/>
      <c r="F29" s="1" t="s">
        <v>26</v>
      </c>
      <c r="G29" s="1" t="s">
        <v>113</v>
      </c>
      <c r="H29" s="1" t="s">
        <v>28</v>
      </c>
      <c r="I29" s="1" t="s">
        <v>29</v>
      </c>
      <c r="J29" s="1" t="s">
        <v>30</v>
      </c>
      <c r="K29" s="1" t="s">
        <v>31</v>
      </c>
      <c r="L29" s="1"/>
      <c r="M29" s="1"/>
      <c r="N29" s="1" t="s">
        <v>32</v>
      </c>
      <c r="O29" s="1"/>
      <c r="P29" s="1"/>
      <c r="Q29" s="1" t="s">
        <v>107</v>
      </c>
      <c r="R29" s="1" t="s">
        <v>34</v>
      </c>
      <c r="S29" s="1"/>
      <c r="T29" s="1" t="s">
        <v>104</v>
      </c>
      <c r="U29" s="1">
        <v>0.5</v>
      </c>
      <c r="V29" s="1" t="s">
        <v>36</v>
      </c>
      <c r="W29" s="1" t="s">
        <v>108</v>
      </c>
      <c r="X29" s="1" t="s">
        <v>38</v>
      </c>
      <c r="Y29" s="1" t="s">
        <v>109</v>
      </c>
      <c r="Z29" s="1">
        <v>1.014</v>
      </c>
      <c r="AA29" s="1">
        <v>1.008</v>
      </c>
      <c r="AB29" s="1">
        <v>1.019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ht="13.85" spans="1:104">
      <c r="A30" s="1">
        <v>876</v>
      </c>
      <c r="B30" s="1">
        <v>7</v>
      </c>
      <c r="C30" s="1"/>
      <c r="D30" s="1">
        <v>2014</v>
      </c>
      <c r="E30" s="1"/>
      <c r="F30" s="1" t="s">
        <v>26</v>
      </c>
      <c r="G30" s="1" t="s">
        <v>114</v>
      </c>
      <c r="H30" s="1" t="s">
        <v>115</v>
      </c>
      <c r="I30" s="1" t="s">
        <v>29</v>
      </c>
      <c r="J30" s="1" t="s">
        <v>30</v>
      </c>
      <c r="K30" s="1" t="s">
        <v>31</v>
      </c>
      <c r="L30" s="1"/>
      <c r="M30" s="1"/>
      <c r="N30" s="1" t="s">
        <v>32</v>
      </c>
      <c r="O30" s="1"/>
      <c r="P30" s="1"/>
      <c r="Q30" s="1" t="s">
        <v>107</v>
      </c>
      <c r="R30" s="1" t="s">
        <v>34</v>
      </c>
      <c r="S30" s="1"/>
      <c r="T30" s="1" t="s">
        <v>104</v>
      </c>
      <c r="U30" s="1">
        <v>0.5</v>
      </c>
      <c r="V30" s="1" t="s">
        <v>36</v>
      </c>
      <c r="W30" s="1" t="s">
        <v>108</v>
      </c>
      <c r="X30" s="1" t="s">
        <v>38</v>
      </c>
      <c r="Y30" s="1" t="s">
        <v>109</v>
      </c>
      <c r="Z30" s="1">
        <v>1.021</v>
      </c>
      <c r="AA30" s="1">
        <v>1.016</v>
      </c>
      <c r="AB30" s="1">
        <v>1.026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ht="13.85" spans="1:104">
      <c r="A31" s="1">
        <v>876</v>
      </c>
      <c r="B31" s="1">
        <v>8</v>
      </c>
      <c r="C31" s="1"/>
      <c r="D31" s="1">
        <v>2014</v>
      </c>
      <c r="E31" s="1"/>
      <c r="F31" s="1" t="s">
        <v>26</v>
      </c>
      <c r="G31" s="1" t="s">
        <v>116</v>
      </c>
      <c r="H31" s="1" t="s">
        <v>28</v>
      </c>
      <c r="I31" s="1" t="s">
        <v>29</v>
      </c>
      <c r="J31" s="1" t="s">
        <v>30</v>
      </c>
      <c r="K31" s="1" t="s">
        <v>31</v>
      </c>
      <c r="L31" s="1"/>
      <c r="M31" s="1"/>
      <c r="N31" s="1" t="s">
        <v>32</v>
      </c>
      <c r="O31" s="1"/>
      <c r="P31" s="1"/>
      <c r="Q31" s="1" t="s">
        <v>107</v>
      </c>
      <c r="R31" s="1" t="s">
        <v>34</v>
      </c>
      <c r="S31" s="1"/>
      <c r="T31" s="1" t="s">
        <v>104</v>
      </c>
      <c r="U31" s="1">
        <v>0.5</v>
      </c>
      <c r="V31" s="1" t="s">
        <v>36</v>
      </c>
      <c r="W31" s="1" t="s">
        <v>108</v>
      </c>
      <c r="X31" s="1" t="s">
        <v>38</v>
      </c>
      <c r="Y31" s="1" t="s">
        <v>109</v>
      </c>
      <c r="Z31" s="1">
        <v>1.013</v>
      </c>
      <c r="AA31" s="1">
        <v>1.009</v>
      </c>
      <c r="AB31" s="1">
        <v>1.017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ht="13.85" spans="1:104">
      <c r="A32" s="1">
        <v>876</v>
      </c>
      <c r="B32" s="1">
        <v>9</v>
      </c>
      <c r="C32" s="1"/>
      <c r="D32" s="1">
        <v>2014</v>
      </c>
      <c r="E32" s="1"/>
      <c r="F32" s="1" t="s">
        <v>26</v>
      </c>
      <c r="G32" s="1" t="s">
        <v>117</v>
      </c>
      <c r="H32" s="1" t="s">
        <v>28</v>
      </c>
      <c r="I32" s="1" t="s">
        <v>29</v>
      </c>
      <c r="J32" s="1" t="s">
        <v>30</v>
      </c>
      <c r="K32" s="1" t="s">
        <v>31</v>
      </c>
      <c r="L32" s="1"/>
      <c r="M32" s="1"/>
      <c r="N32" s="1" t="s">
        <v>32</v>
      </c>
      <c r="O32" s="1"/>
      <c r="P32" s="1"/>
      <c r="Q32" s="1" t="s">
        <v>107</v>
      </c>
      <c r="R32" s="1" t="s">
        <v>34</v>
      </c>
      <c r="S32" s="1"/>
      <c r="T32" s="1" t="s">
        <v>104</v>
      </c>
      <c r="U32" s="1">
        <v>0.5</v>
      </c>
      <c r="V32" s="1" t="s">
        <v>36</v>
      </c>
      <c r="W32" s="1" t="s">
        <v>108</v>
      </c>
      <c r="X32" s="1" t="s">
        <v>38</v>
      </c>
      <c r="Y32" s="1" t="s">
        <v>109</v>
      </c>
      <c r="Z32" s="1">
        <v>1.017</v>
      </c>
      <c r="AA32" s="1">
        <v>1.011</v>
      </c>
      <c r="AB32" s="1">
        <v>1.022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ht="13.85" spans="1:104">
      <c r="A33" s="1">
        <v>876</v>
      </c>
      <c r="B33" s="1">
        <v>10</v>
      </c>
      <c r="C33" s="1"/>
      <c r="D33" s="1">
        <v>2014</v>
      </c>
      <c r="E33" s="1"/>
      <c r="F33" s="1" t="s">
        <v>26</v>
      </c>
      <c r="G33" s="1" t="s">
        <v>118</v>
      </c>
      <c r="H33" s="1" t="s">
        <v>28</v>
      </c>
      <c r="I33" s="1" t="s">
        <v>29</v>
      </c>
      <c r="J33" s="1" t="s">
        <v>30</v>
      </c>
      <c r="K33" s="1" t="s">
        <v>31</v>
      </c>
      <c r="L33" s="1"/>
      <c r="M33" s="1"/>
      <c r="N33" s="1" t="s">
        <v>32</v>
      </c>
      <c r="O33" s="1"/>
      <c r="P33" s="1"/>
      <c r="Q33" s="1" t="s">
        <v>107</v>
      </c>
      <c r="R33" s="1" t="s">
        <v>34</v>
      </c>
      <c r="S33" s="1"/>
      <c r="T33" s="1" t="s">
        <v>104</v>
      </c>
      <c r="U33" s="1">
        <v>0.5</v>
      </c>
      <c r="V33" s="1" t="s">
        <v>36</v>
      </c>
      <c r="W33" s="1" t="s">
        <v>108</v>
      </c>
      <c r="X33" s="1" t="s">
        <v>38</v>
      </c>
      <c r="Y33" s="1" t="s">
        <v>109</v>
      </c>
      <c r="Z33" s="1">
        <v>1.009</v>
      </c>
      <c r="AA33" s="1">
        <v>1.002</v>
      </c>
      <c r="AB33" s="1">
        <v>1.015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ht="13.85" spans="1:104">
      <c r="A34" s="1">
        <v>876</v>
      </c>
      <c r="B34" s="1">
        <v>11</v>
      </c>
      <c r="C34" s="1"/>
      <c r="D34" s="1">
        <v>2014</v>
      </c>
      <c r="E34" s="1"/>
      <c r="F34" s="1" t="s">
        <v>88</v>
      </c>
      <c r="G34" s="1" t="s">
        <v>106</v>
      </c>
      <c r="H34" s="1" t="s">
        <v>28</v>
      </c>
      <c r="I34" s="1" t="s">
        <v>29</v>
      </c>
      <c r="J34" s="1" t="s">
        <v>30</v>
      </c>
      <c r="K34" s="1" t="s">
        <v>31</v>
      </c>
      <c r="L34" s="1"/>
      <c r="M34" s="1"/>
      <c r="N34" s="1" t="s">
        <v>32</v>
      </c>
      <c r="O34" s="1"/>
      <c r="P34" s="1"/>
      <c r="Q34" s="1" t="s">
        <v>107</v>
      </c>
      <c r="R34" s="1" t="s">
        <v>34</v>
      </c>
      <c r="S34" s="1"/>
      <c r="T34" s="1" t="s">
        <v>104</v>
      </c>
      <c r="U34" s="1">
        <v>0.5</v>
      </c>
      <c r="V34" s="1" t="s">
        <v>36</v>
      </c>
      <c r="W34" s="1" t="s">
        <v>108</v>
      </c>
      <c r="X34" s="1" t="s">
        <v>38</v>
      </c>
      <c r="Y34" s="1" t="s">
        <v>109</v>
      </c>
      <c r="Z34" s="1">
        <v>1.022</v>
      </c>
      <c r="AA34" s="1">
        <v>1.016</v>
      </c>
      <c r="AB34" s="1">
        <v>1.028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ht="13.85" spans="1:104">
      <c r="A35" s="1">
        <v>876</v>
      </c>
      <c r="B35" s="1">
        <v>12</v>
      </c>
      <c r="C35" s="1"/>
      <c r="D35" s="1">
        <v>2014</v>
      </c>
      <c r="E35" s="1"/>
      <c r="F35" s="1" t="s">
        <v>88</v>
      </c>
      <c r="G35" s="1" t="s">
        <v>110</v>
      </c>
      <c r="H35" s="1" t="s">
        <v>28</v>
      </c>
      <c r="I35" s="1" t="s">
        <v>29</v>
      </c>
      <c r="J35" s="1" t="s">
        <v>30</v>
      </c>
      <c r="K35" s="1" t="s">
        <v>31</v>
      </c>
      <c r="L35" s="1"/>
      <c r="M35" s="1"/>
      <c r="N35" s="1" t="s">
        <v>32</v>
      </c>
      <c r="O35" s="1"/>
      <c r="P35" s="1"/>
      <c r="Q35" s="1" t="s">
        <v>107</v>
      </c>
      <c r="R35" s="1" t="s">
        <v>34</v>
      </c>
      <c r="S35" s="1"/>
      <c r="T35" s="1" t="s">
        <v>104</v>
      </c>
      <c r="U35" s="1">
        <v>0.5</v>
      </c>
      <c r="V35" s="1" t="s">
        <v>36</v>
      </c>
      <c r="W35" s="1" t="s">
        <v>108</v>
      </c>
      <c r="X35" s="1" t="s">
        <v>38</v>
      </c>
      <c r="Y35" s="1" t="s">
        <v>109</v>
      </c>
      <c r="Z35" s="1">
        <v>1.021</v>
      </c>
      <c r="AA35" s="1">
        <v>1.018</v>
      </c>
      <c r="AB35" s="1">
        <v>1.025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ht="13.85" spans="1:104">
      <c r="A36" s="1">
        <v>876</v>
      </c>
      <c r="B36" s="1">
        <v>13</v>
      </c>
      <c r="C36" s="1"/>
      <c r="D36" s="1">
        <v>2014</v>
      </c>
      <c r="E36" s="1"/>
      <c r="F36" s="1" t="s">
        <v>88</v>
      </c>
      <c r="G36" s="1" t="s">
        <v>111</v>
      </c>
      <c r="H36" s="1" t="s">
        <v>28</v>
      </c>
      <c r="I36" s="1" t="s">
        <v>29</v>
      </c>
      <c r="J36" s="1" t="s">
        <v>30</v>
      </c>
      <c r="K36" s="1" t="s">
        <v>31</v>
      </c>
      <c r="L36" s="1"/>
      <c r="M36" s="1"/>
      <c r="N36" s="1" t="s">
        <v>32</v>
      </c>
      <c r="O36" s="1"/>
      <c r="P36" s="1"/>
      <c r="Q36" s="1" t="s">
        <v>107</v>
      </c>
      <c r="R36" s="1" t="s">
        <v>34</v>
      </c>
      <c r="S36" s="1"/>
      <c r="T36" s="1" t="s">
        <v>104</v>
      </c>
      <c r="U36" s="1">
        <v>0.5</v>
      </c>
      <c r="V36" s="1" t="s">
        <v>36</v>
      </c>
      <c r="W36" s="1" t="s">
        <v>108</v>
      </c>
      <c r="X36" s="1" t="s">
        <v>38</v>
      </c>
      <c r="Y36" s="1" t="s">
        <v>109</v>
      </c>
      <c r="Z36" s="1">
        <v>1.017</v>
      </c>
      <c r="AA36" s="1">
        <v>1.013</v>
      </c>
      <c r="AB36" s="1">
        <v>1.021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ht="13.85" spans="1:104">
      <c r="A37" s="1">
        <v>876</v>
      </c>
      <c r="B37" s="1">
        <v>14</v>
      </c>
      <c r="C37" s="1"/>
      <c r="D37" s="1">
        <v>2014</v>
      </c>
      <c r="E37" s="1"/>
      <c r="F37" s="1" t="s">
        <v>88</v>
      </c>
      <c r="G37" s="1" t="s">
        <v>112</v>
      </c>
      <c r="H37" s="1" t="s">
        <v>28</v>
      </c>
      <c r="I37" s="1" t="s">
        <v>29</v>
      </c>
      <c r="J37" s="1" t="s">
        <v>30</v>
      </c>
      <c r="K37" s="1" t="s">
        <v>31</v>
      </c>
      <c r="L37" s="1"/>
      <c r="M37" s="1"/>
      <c r="N37" s="1" t="s">
        <v>32</v>
      </c>
      <c r="O37" s="1"/>
      <c r="P37" s="1"/>
      <c r="Q37" s="1" t="s">
        <v>107</v>
      </c>
      <c r="R37" s="1" t="s">
        <v>34</v>
      </c>
      <c r="S37" s="1"/>
      <c r="T37" s="1" t="s">
        <v>104</v>
      </c>
      <c r="U37" s="1">
        <v>0.5</v>
      </c>
      <c r="V37" s="1" t="s">
        <v>36</v>
      </c>
      <c r="W37" s="1" t="s">
        <v>108</v>
      </c>
      <c r="X37" s="1" t="s">
        <v>38</v>
      </c>
      <c r="Y37" s="1" t="s">
        <v>109</v>
      </c>
      <c r="Z37" s="1">
        <v>1.023</v>
      </c>
      <c r="AA37" s="1">
        <v>1.019</v>
      </c>
      <c r="AB37" s="1">
        <v>1.028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ht="13.85" spans="1:104">
      <c r="A38" s="1">
        <v>876</v>
      </c>
      <c r="B38" s="1">
        <v>15</v>
      </c>
      <c r="C38" s="1"/>
      <c r="D38" s="1">
        <v>2014</v>
      </c>
      <c r="E38" s="1"/>
      <c r="F38" s="1" t="s">
        <v>88</v>
      </c>
      <c r="G38" s="1" t="s">
        <v>42</v>
      </c>
      <c r="H38" s="1" t="s">
        <v>28</v>
      </c>
      <c r="I38" s="1" t="s">
        <v>29</v>
      </c>
      <c r="J38" s="1" t="s">
        <v>30</v>
      </c>
      <c r="K38" s="1" t="s">
        <v>31</v>
      </c>
      <c r="L38" s="1"/>
      <c r="M38" s="1"/>
      <c r="N38" s="1" t="s">
        <v>32</v>
      </c>
      <c r="O38" s="1"/>
      <c r="P38" s="1"/>
      <c r="Q38" s="1" t="s">
        <v>107</v>
      </c>
      <c r="R38" s="1" t="s">
        <v>34</v>
      </c>
      <c r="S38" s="1"/>
      <c r="T38" s="1" t="s">
        <v>104</v>
      </c>
      <c r="U38" s="1">
        <v>0.5</v>
      </c>
      <c r="V38" s="1" t="s">
        <v>36</v>
      </c>
      <c r="W38" s="1" t="s">
        <v>108</v>
      </c>
      <c r="X38" s="1" t="s">
        <v>38</v>
      </c>
      <c r="Y38" s="1" t="s">
        <v>109</v>
      </c>
      <c r="Z38" s="1">
        <v>1.017</v>
      </c>
      <c r="AA38" s="1">
        <v>1.013</v>
      </c>
      <c r="AB38" s="1">
        <v>1.021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ht="13.85" spans="1:104">
      <c r="A39" s="1">
        <v>876</v>
      </c>
      <c r="B39" s="1">
        <v>16</v>
      </c>
      <c r="C39" s="1"/>
      <c r="D39" s="1">
        <v>2014</v>
      </c>
      <c r="E39" s="1"/>
      <c r="F39" s="1" t="s">
        <v>88</v>
      </c>
      <c r="G39" s="1" t="s">
        <v>113</v>
      </c>
      <c r="H39" s="1" t="s">
        <v>28</v>
      </c>
      <c r="I39" s="1" t="s">
        <v>29</v>
      </c>
      <c r="J39" s="1" t="s">
        <v>30</v>
      </c>
      <c r="K39" s="1" t="s">
        <v>31</v>
      </c>
      <c r="L39" s="1"/>
      <c r="M39" s="1"/>
      <c r="N39" s="1" t="s">
        <v>32</v>
      </c>
      <c r="O39" s="1"/>
      <c r="P39" s="1"/>
      <c r="Q39" s="1" t="s">
        <v>107</v>
      </c>
      <c r="R39" s="1" t="s">
        <v>34</v>
      </c>
      <c r="S39" s="1"/>
      <c r="T39" s="1" t="s">
        <v>104</v>
      </c>
      <c r="U39" s="1">
        <v>0.5</v>
      </c>
      <c r="V39" s="1" t="s">
        <v>36</v>
      </c>
      <c r="W39" s="1" t="s">
        <v>108</v>
      </c>
      <c r="X39" s="1" t="s">
        <v>38</v>
      </c>
      <c r="Y39" s="1" t="s">
        <v>109</v>
      </c>
      <c r="Z39" s="1">
        <v>1.019</v>
      </c>
      <c r="AA39" s="1">
        <v>1.015</v>
      </c>
      <c r="AB39" s="1">
        <v>1.023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ht="13.85" spans="1:104">
      <c r="A40" s="1">
        <v>876</v>
      </c>
      <c r="B40" s="1">
        <v>17</v>
      </c>
      <c r="C40" s="1"/>
      <c r="D40" s="1">
        <v>2014</v>
      </c>
      <c r="E40" s="1"/>
      <c r="F40" s="1" t="s">
        <v>88</v>
      </c>
      <c r="G40" s="1" t="s">
        <v>114</v>
      </c>
      <c r="H40" s="1" t="s">
        <v>115</v>
      </c>
      <c r="I40" s="1" t="s">
        <v>29</v>
      </c>
      <c r="J40" s="1" t="s">
        <v>30</v>
      </c>
      <c r="K40" s="1" t="s">
        <v>31</v>
      </c>
      <c r="L40" s="1"/>
      <c r="M40" s="1"/>
      <c r="N40" s="1" t="s">
        <v>32</v>
      </c>
      <c r="O40" s="1"/>
      <c r="P40" s="1"/>
      <c r="Q40" s="1" t="s">
        <v>107</v>
      </c>
      <c r="R40" s="1" t="s">
        <v>34</v>
      </c>
      <c r="S40" s="1"/>
      <c r="T40" s="1" t="s">
        <v>104</v>
      </c>
      <c r="U40" s="1">
        <v>0.5</v>
      </c>
      <c r="V40" s="1" t="s">
        <v>36</v>
      </c>
      <c r="W40" s="1" t="s">
        <v>108</v>
      </c>
      <c r="X40" s="1" t="s">
        <v>38</v>
      </c>
      <c r="Y40" s="1" t="s">
        <v>109</v>
      </c>
      <c r="Z40" s="1">
        <v>1.023</v>
      </c>
      <c r="AA40" s="1">
        <v>1.019</v>
      </c>
      <c r="AB40" s="1">
        <v>1.027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ht="13.85" spans="1:104">
      <c r="A41" s="1">
        <v>876</v>
      </c>
      <c r="B41" s="1">
        <v>18</v>
      </c>
      <c r="C41" s="1"/>
      <c r="D41" s="1">
        <v>2014</v>
      </c>
      <c r="E41" s="1"/>
      <c r="F41" s="1" t="s">
        <v>88</v>
      </c>
      <c r="G41" s="1" t="s">
        <v>116</v>
      </c>
      <c r="H41" s="1" t="s">
        <v>28</v>
      </c>
      <c r="I41" s="1" t="s">
        <v>29</v>
      </c>
      <c r="J41" s="1" t="s">
        <v>30</v>
      </c>
      <c r="K41" s="1" t="s">
        <v>31</v>
      </c>
      <c r="L41" s="1"/>
      <c r="M41" s="1"/>
      <c r="N41" s="1" t="s">
        <v>32</v>
      </c>
      <c r="O41" s="1"/>
      <c r="P41" s="1"/>
      <c r="Q41" s="1" t="s">
        <v>107</v>
      </c>
      <c r="R41" s="1" t="s">
        <v>34</v>
      </c>
      <c r="S41" s="1"/>
      <c r="T41" s="1" t="s">
        <v>104</v>
      </c>
      <c r="U41" s="1">
        <v>0.5</v>
      </c>
      <c r="V41" s="1" t="s">
        <v>36</v>
      </c>
      <c r="W41" s="1" t="s">
        <v>108</v>
      </c>
      <c r="X41" s="1" t="s">
        <v>38</v>
      </c>
      <c r="Y41" s="1" t="s">
        <v>109</v>
      </c>
      <c r="Z41" s="1">
        <v>1.022</v>
      </c>
      <c r="AA41" s="1">
        <v>1.019</v>
      </c>
      <c r="AB41" s="1">
        <v>1.026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</row>
    <row r="42" ht="13.85" spans="1:104">
      <c r="A42" s="1">
        <v>876</v>
      </c>
      <c r="B42" s="1">
        <v>19</v>
      </c>
      <c r="C42" s="1"/>
      <c r="D42" s="1">
        <v>2014</v>
      </c>
      <c r="E42" s="1"/>
      <c r="F42" s="1" t="s">
        <v>88</v>
      </c>
      <c r="G42" s="1" t="s">
        <v>117</v>
      </c>
      <c r="H42" s="1" t="s">
        <v>28</v>
      </c>
      <c r="I42" s="1" t="s">
        <v>29</v>
      </c>
      <c r="J42" s="1" t="s">
        <v>30</v>
      </c>
      <c r="K42" s="1" t="s">
        <v>31</v>
      </c>
      <c r="L42" s="1"/>
      <c r="M42" s="1"/>
      <c r="N42" s="1" t="s">
        <v>32</v>
      </c>
      <c r="O42" s="1"/>
      <c r="P42" s="1"/>
      <c r="Q42" s="1" t="s">
        <v>107</v>
      </c>
      <c r="R42" s="1" t="s">
        <v>34</v>
      </c>
      <c r="S42" s="1"/>
      <c r="T42" s="1" t="s">
        <v>104</v>
      </c>
      <c r="U42" s="1">
        <v>0.5</v>
      </c>
      <c r="V42" s="1" t="s">
        <v>36</v>
      </c>
      <c r="W42" s="1" t="s">
        <v>108</v>
      </c>
      <c r="X42" s="1" t="s">
        <v>38</v>
      </c>
      <c r="Y42" s="1" t="s">
        <v>109</v>
      </c>
      <c r="Z42" s="1">
        <v>1.023</v>
      </c>
      <c r="AA42" s="1">
        <v>1.019</v>
      </c>
      <c r="AB42" s="1">
        <v>1.028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ht="13.85" spans="1:104">
      <c r="A43" s="1">
        <v>876</v>
      </c>
      <c r="B43" s="1">
        <v>20</v>
      </c>
      <c r="C43" s="1"/>
      <c r="D43" s="1">
        <v>2014</v>
      </c>
      <c r="E43" s="1"/>
      <c r="F43" s="1" t="s">
        <v>88</v>
      </c>
      <c r="G43" s="1" t="s">
        <v>118</v>
      </c>
      <c r="H43" s="1" t="s">
        <v>28</v>
      </c>
      <c r="I43" s="1" t="s">
        <v>29</v>
      </c>
      <c r="J43" s="1" t="s">
        <v>30</v>
      </c>
      <c r="K43" s="1" t="s">
        <v>31</v>
      </c>
      <c r="L43" s="1"/>
      <c r="M43" s="1"/>
      <c r="N43" s="1" t="s">
        <v>32</v>
      </c>
      <c r="O43" s="1"/>
      <c r="P43" s="1"/>
      <c r="Q43" s="1" t="s">
        <v>107</v>
      </c>
      <c r="R43" s="1" t="s">
        <v>34</v>
      </c>
      <c r="S43" s="1"/>
      <c r="T43" s="1" t="s">
        <v>104</v>
      </c>
      <c r="U43" s="1">
        <v>0.5</v>
      </c>
      <c r="V43" s="1" t="s">
        <v>36</v>
      </c>
      <c r="W43" s="1" t="s">
        <v>108</v>
      </c>
      <c r="X43" s="1" t="s">
        <v>38</v>
      </c>
      <c r="Y43" s="1" t="s">
        <v>109</v>
      </c>
      <c r="Z43" s="1">
        <v>1.028</v>
      </c>
      <c r="AA43" s="1">
        <v>1.023</v>
      </c>
      <c r="AB43" s="1">
        <v>1.033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ht="13.85" spans="1:104">
      <c r="A44" s="1">
        <v>876</v>
      </c>
      <c r="B44" s="1">
        <v>21</v>
      </c>
      <c r="C44" s="1"/>
      <c r="D44" s="1">
        <v>2014</v>
      </c>
      <c r="E44" s="1"/>
      <c r="F44" s="1" t="s">
        <v>89</v>
      </c>
      <c r="G44" s="1" t="s">
        <v>106</v>
      </c>
      <c r="H44" s="1" t="s">
        <v>28</v>
      </c>
      <c r="I44" s="1" t="s">
        <v>29</v>
      </c>
      <c r="J44" s="1" t="s">
        <v>30</v>
      </c>
      <c r="K44" s="1" t="s">
        <v>31</v>
      </c>
      <c r="L44" s="1"/>
      <c r="M44" s="1"/>
      <c r="N44" s="1" t="s">
        <v>32</v>
      </c>
      <c r="O44" s="1"/>
      <c r="P44" s="1"/>
      <c r="Q44" s="1" t="s">
        <v>107</v>
      </c>
      <c r="R44" s="1" t="s">
        <v>34</v>
      </c>
      <c r="S44" s="1"/>
      <c r="T44" s="1" t="s">
        <v>104</v>
      </c>
      <c r="U44" s="1">
        <v>0.5</v>
      </c>
      <c r="V44" s="1" t="s">
        <v>36</v>
      </c>
      <c r="W44" s="1" t="s">
        <v>108</v>
      </c>
      <c r="X44" s="1" t="s">
        <v>38</v>
      </c>
      <c r="Y44" s="1" t="s">
        <v>109</v>
      </c>
      <c r="Z44" s="1">
        <v>1.014</v>
      </c>
      <c r="AA44" s="1">
        <v>1.007</v>
      </c>
      <c r="AB44" s="1">
        <v>1.021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ht="13.85" spans="1:104">
      <c r="A45" s="1">
        <v>876</v>
      </c>
      <c r="B45" s="1">
        <v>22</v>
      </c>
      <c r="C45" s="1"/>
      <c r="D45" s="1">
        <v>2014</v>
      </c>
      <c r="E45" s="1"/>
      <c r="F45" s="1" t="s">
        <v>89</v>
      </c>
      <c r="G45" s="1" t="s">
        <v>110</v>
      </c>
      <c r="H45" s="1" t="s">
        <v>28</v>
      </c>
      <c r="I45" s="1" t="s">
        <v>29</v>
      </c>
      <c r="J45" s="1" t="s">
        <v>30</v>
      </c>
      <c r="K45" s="1" t="s">
        <v>31</v>
      </c>
      <c r="L45" s="1"/>
      <c r="M45" s="1"/>
      <c r="N45" s="1" t="s">
        <v>32</v>
      </c>
      <c r="O45" s="1"/>
      <c r="P45" s="1"/>
      <c r="Q45" s="1" t="s">
        <v>107</v>
      </c>
      <c r="R45" s="1" t="s">
        <v>34</v>
      </c>
      <c r="S45" s="1"/>
      <c r="T45" s="1" t="s">
        <v>104</v>
      </c>
      <c r="U45" s="1">
        <v>0.5</v>
      </c>
      <c r="V45" s="1" t="s">
        <v>36</v>
      </c>
      <c r="W45" s="1" t="s">
        <v>108</v>
      </c>
      <c r="X45" s="1" t="s">
        <v>38</v>
      </c>
      <c r="Y45" s="1" t="s">
        <v>109</v>
      </c>
      <c r="Z45" s="1">
        <v>1.024</v>
      </c>
      <c r="AA45" s="1">
        <v>1.02</v>
      </c>
      <c r="AB45" s="1">
        <v>1.028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ht="13.85" spans="1:104">
      <c r="A46" s="1">
        <v>876</v>
      </c>
      <c r="B46" s="1">
        <v>23</v>
      </c>
      <c r="C46" s="1"/>
      <c r="D46" s="1">
        <v>2014</v>
      </c>
      <c r="E46" s="1"/>
      <c r="F46" s="1" t="s">
        <v>89</v>
      </c>
      <c r="G46" s="1" t="s">
        <v>111</v>
      </c>
      <c r="H46" s="1" t="s">
        <v>28</v>
      </c>
      <c r="I46" s="1" t="s">
        <v>29</v>
      </c>
      <c r="J46" s="1" t="s">
        <v>30</v>
      </c>
      <c r="K46" s="1" t="s">
        <v>31</v>
      </c>
      <c r="L46" s="1"/>
      <c r="M46" s="1"/>
      <c r="N46" s="1" t="s">
        <v>32</v>
      </c>
      <c r="O46" s="1"/>
      <c r="P46" s="1"/>
      <c r="Q46" s="1" t="s">
        <v>107</v>
      </c>
      <c r="R46" s="1" t="s">
        <v>34</v>
      </c>
      <c r="S46" s="1"/>
      <c r="T46" s="1" t="s">
        <v>104</v>
      </c>
      <c r="U46" s="1">
        <v>0.5</v>
      </c>
      <c r="V46" s="1" t="s">
        <v>36</v>
      </c>
      <c r="W46" s="1" t="s">
        <v>108</v>
      </c>
      <c r="X46" s="1" t="s">
        <v>38</v>
      </c>
      <c r="Y46" s="1" t="s">
        <v>109</v>
      </c>
      <c r="Z46" s="1">
        <v>1.019</v>
      </c>
      <c r="AA46" s="1">
        <v>1.015</v>
      </c>
      <c r="AB46" s="1">
        <v>1.024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</row>
    <row r="47" ht="13.85" spans="1:104">
      <c r="A47" s="1">
        <v>876</v>
      </c>
      <c r="B47" s="1">
        <v>24</v>
      </c>
      <c r="C47" s="1"/>
      <c r="D47" s="1">
        <v>2014</v>
      </c>
      <c r="E47" s="1"/>
      <c r="F47" s="1" t="s">
        <v>89</v>
      </c>
      <c r="G47" s="1" t="s">
        <v>112</v>
      </c>
      <c r="H47" s="1" t="s">
        <v>28</v>
      </c>
      <c r="I47" s="1" t="s">
        <v>29</v>
      </c>
      <c r="J47" s="1" t="s">
        <v>30</v>
      </c>
      <c r="K47" s="1" t="s">
        <v>31</v>
      </c>
      <c r="L47" s="1"/>
      <c r="M47" s="1"/>
      <c r="N47" s="1" t="s">
        <v>32</v>
      </c>
      <c r="O47" s="1"/>
      <c r="P47" s="1"/>
      <c r="Q47" s="1" t="s">
        <v>107</v>
      </c>
      <c r="R47" s="1" t="s">
        <v>34</v>
      </c>
      <c r="S47" s="1"/>
      <c r="T47" s="1" t="s">
        <v>104</v>
      </c>
      <c r="U47" s="1">
        <v>0.5</v>
      </c>
      <c r="V47" s="1" t="s">
        <v>36</v>
      </c>
      <c r="W47" s="1" t="s">
        <v>108</v>
      </c>
      <c r="X47" s="1" t="s">
        <v>38</v>
      </c>
      <c r="Y47" s="1" t="s">
        <v>109</v>
      </c>
      <c r="Z47" s="1">
        <v>1.025</v>
      </c>
      <c r="AA47" s="1">
        <v>1.02</v>
      </c>
      <c r="AB47" s="1">
        <v>1.03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</row>
    <row r="48" ht="13.85" spans="1:104">
      <c r="A48" s="1">
        <v>876</v>
      </c>
      <c r="B48" s="1">
        <v>25</v>
      </c>
      <c r="C48" s="1"/>
      <c r="D48" s="1">
        <v>2014</v>
      </c>
      <c r="E48" s="1"/>
      <c r="F48" s="1" t="s">
        <v>89</v>
      </c>
      <c r="G48" s="1" t="s">
        <v>42</v>
      </c>
      <c r="H48" s="1" t="s">
        <v>28</v>
      </c>
      <c r="I48" s="1" t="s">
        <v>29</v>
      </c>
      <c r="J48" s="1" t="s">
        <v>30</v>
      </c>
      <c r="K48" s="1" t="s">
        <v>31</v>
      </c>
      <c r="L48" s="1"/>
      <c r="M48" s="1"/>
      <c r="N48" s="1" t="s">
        <v>32</v>
      </c>
      <c r="O48" s="1"/>
      <c r="P48" s="1"/>
      <c r="Q48" s="1" t="s">
        <v>107</v>
      </c>
      <c r="R48" s="1" t="s">
        <v>34</v>
      </c>
      <c r="S48" s="1"/>
      <c r="T48" s="1" t="s">
        <v>104</v>
      </c>
      <c r="U48" s="1">
        <v>0.5</v>
      </c>
      <c r="V48" s="1" t="s">
        <v>36</v>
      </c>
      <c r="W48" s="1" t="s">
        <v>108</v>
      </c>
      <c r="X48" s="1" t="s">
        <v>38</v>
      </c>
      <c r="Y48" s="1" t="s">
        <v>109</v>
      </c>
      <c r="Z48" s="1">
        <v>1.029</v>
      </c>
      <c r="AA48" s="1">
        <v>1.025</v>
      </c>
      <c r="AB48" s="1">
        <v>1.034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</row>
    <row r="49" ht="13.85" spans="1:104">
      <c r="A49" s="1">
        <v>876</v>
      </c>
      <c r="B49" s="1">
        <v>26</v>
      </c>
      <c r="C49" s="1"/>
      <c r="D49" s="1">
        <v>2014</v>
      </c>
      <c r="E49" s="1"/>
      <c r="F49" s="1" t="s">
        <v>89</v>
      </c>
      <c r="G49" s="1" t="s">
        <v>113</v>
      </c>
      <c r="H49" s="1" t="s">
        <v>28</v>
      </c>
      <c r="I49" s="1" t="s">
        <v>29</v>
      </c>
      <c r="J49" s="1" t="s">
        <v>30</v>
      </c>
      <c r="K49" s="1" t="s">
        <v>31</v>
      </c>
      <c r="L49" s="1"/>
      <c r="M49" s="1"/>
      <c r="N49" s="1" t="s">
        <v>32</v>
      </c>
      <c r="O49" s="1"/>
      <c r="P49" s="1"/>
      <c r="Q49" s="1" t="s">
        <v>107</v>
      </c>
      <c r="R49" s="1" t="s">
        <v>34</v>
      </c>
      <c r="S49" s="1"/>
      <c r="T49" s="1" t="s">
        <v>104</v>
      </c>
      <c r="U49" s="1">
        <v>0.5</v>
      </c>
      <c r="V49" s="1" t="s">
        <v>36</v>
      </c>
      <c r="W49" s="1" t="s">
        <v>108</v>
      </c>
      <c r="X49" s="1" t="s">
        <v>38</v>
      </c>
      <c r="Y49" s="1" t="s">
        <v>109</v>
      </c>
      <c r="Z49" s="1">
        <v>1.029</v>
      </c>
      <c r="AA49" s="1">
        <v>1.025</v>
      </c>
      <c r="AB49" s="1">
        <v>1.033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</row>
    <row r="50" ht="13.85" spans="1:104">
      <c r="A50" s="1">
        <v>876</v>
      </c>
      <c r="B50" s="1">
        <v>27</v>
      </c>
      <c r="C50" s="1"/>
      <c r="D50" s="1">
        <v>2014</v>
      </c>
      <c r="E50" s="1"/>
      <c r="F50" s="1" t="s">
        <v>89</v>
      </c>
      <c r="G50" s="1" t="s">
        <v>114</v>
      </c>
      <c r="H50" s="1" t="s">
        <v>115</v>
      </c>
      <c r="I50" s="1" t="s">
        <v>29</v>
      </c>
      <c r="J50" s="1" t="s">
        <v>30</v>
      </c>
      <c r="K50" s="1" t="s">
        <v>31</v>
      </c>
      <c r="L50" s="1"/>
      <c r="M50" s="1"/>
      <c r="N50" s="1" t="s">
        <v>32</v>
      </c>
      <c r="O50" s="1"/>
      <c r="P50" s="1"/>
      <c r="Q50" s="1" t="s">
        <v>107</v>
      </c>
      <c r="R50" s="1" t="s">
        <v>34</v>
      </c>
      <c r="S50" s="1"/>
      <c r="T50" s="1" t="s">
        <v>104</v>
      </c>
      <c r="U50" s="1">
        <v>0.5</v>
      </c>
      <c r="V50" s="1" t="s">
        <v>36</v>
      </c>
      <c r="W50" s="1" t="s">
        <v>108</v>
      </c>
      <c r="X50" s="1" t="s">
        <v>38</v>
      </c>
      <c r="Y50" s="1" t="s">
        <v>109</v>
      </c>
      <c r="Z50" s="1">
        <v>1.034</v>
      </c>
      <c r="AA50" s="1">
        <v>1.03</v>
      </c>
      <c r="AB50" s="1">
        <v>1.038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ht="13.85" spans="1:104">
      <c r="A51" s="1">
        <v>876</v>
      </c>
      <c r="B51" s="1">
        <v>28</v>
      </c>
      <c r="C51" s="1"/>
      <c r="D51" s="1">
        <v>2014</v>
      </c>
      <c r="E51" s="1"/>
      <c r="F51" s="1" t="s">
        <v>89</v>
      </c>
      <c r="G51" s="1" t="s">
        <v>116</v>
      </c>
      <c r="H51" s="1" t="s">
        <v>28</v>
      </c>
      <c r="I51" s="1" t="s">
        <v>29</v>
      </c>
      <c r="J51" s="1" t="s">
        <v>30</v>
      </c>
      <c r="K51" s="1" t="s">
        <v>31</v>
      </c>
      <c r="L51" s="1"/>
      <c r="M51" s="1"/>
      <c r="N51" s="1" t="s">
        <v>32</v>
      </c>
      <c r="O51" s="1"/>
      <c r="P51" s="1"/>
      <c r="Q51" s="1" t="s">
        <v>107</v>
      </c>
      <c r="R51" s="1" t="s">
        <v>34</v>
      </c>
      <c r="S51" s="1"/>
      <c r="T51" s="1" t="s">
        <v>104</v>
      </c>
      <c r="U51" s="1">
        <v>0.5</v>
      </c>
      <c r="V51" s="1" t="s">
        <v>36</v>
      </c>
      <c r="W51" s="1" t="s">
        <v>108</v>
      </c>
      <c r="X51" s="1" t="s">
        <v>38</v>
      </c>
      <c r="Y51" s="1" t="s">
        <v>109</v>
      </c>
      <c r="Z51" s="1">
        <v>1.028</v>
      </c>
      <c r="AA51" s="1">
        <v>1.025</v>
      </c>
      <c r="AB51" s="1">
        <v>1.031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</row>
    <row r="52" ht="13.85" spans="1:104">
      <c r="A52" s="1">
        <v>876</v>
      </c>
      <c r="B52" s="1">
        <v>29</v>
      </c>
      <c r="C52" s="1"/>
      <c r="D52" s="1">
        <v>2014</v>
      </c>
      <c r="E52" s="1"/>
      <c r="F52" s="1" t="s">
        <v>89</v>
      </c>
      <c r="G52" s="1" t="s">
        <v>117</v>
      </c>
      <c r="H52" s="1" t="s">
        <v>28</v>
      </c>
      <c r="I52" s="1" t="s">
        <v>29</v>
      </c>
      <c r="J52" s="1" t="s">
        <v>30</v>
      </c>
      <c r="K52" s="1" t="s">
        <v>31</v>
      </c>
      <c r="L52" s="1"/>
      <c r="M52" s="1"/>
      <c r="N52" s="1" t="s">
        <v>32</v>
      </c>
      <c r="O52" s="1"/>
      <c r="P52" s="1"/>
      <c r="Q52" s="1" t="s">
        <v>107</v>
      </c>
      <c r="R52" s="1" t="s">
        <v>34</v>
      </c>
      <c r="S52" s="1"/>
      <c r="T52" s="1" t="s">
        <v>104</v>
      </c>
      <c r="U52" s="1">
        <v>0.5</v>
      </c>
      <c r="V52" s="1" t="s">
        <v>36</v>
      </c>
      <c r="W52" s="1" t="s">
        <v>108</v>
      </c>
      <c r="X52" s="1" t="s">
        <v>38</v>
      </c>
      <c r="Y52" s="1" t="s">
        <v>109</v>
      </c>
      <c r="Z52" s="1">
        <v>1.03</v>
      </c>
      <c r="AA52" s="1">
        <v>1.025</v>
      </c>
      <c r="AB52" s="1">
        <v>1.034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</row>
    <row r="53" ht="13.85" spans="1:104">
      <c r="A53" s="1">
        <v>876</v>
      </c>
      <c r="B53" s="1">
        <v>30</v>
      </c>
      <c r="C53" s="1"/>
      <c r="D53" s="1">
        <v>2014</v>
      </c>
      <c r="E53" s="1"/>
      <c r="F53" s="1" t="s">
        <v>89</v>
      </c>
      <c r="G53" s="1" t="s">
        <v>118</v>
      </c>
      <c r="H53" s="1" t="s">
        <v>28</v>
      </c>
      <c r="I53" s="1" t="s">
        <v>29</v>
      </c>
      <c r="J53" s="1" t="s">
        <v>30</v>
      </c>
      <c r="K53" s="1" t="s">
        <v>31</v>
      </c>
      <c r="L53" s="1"/>
      <c r="M53" s="1"/>
      <c r="N53" s="1" t="s">
        <v>32</v>
      </c>
      <c r="O53" s="1"/>
      <c r="P53" s="1"/>
      <c r="Q53" s="1" t="s">
        <v>107</v>
      </c>
      <c r="R53" s="1" t="s">
        <v>34</v>
      </c>
      <c r="S53" s="1"/>
      <c r="T53" s="1" t="s">
        <v>104</v>
      </c>
      <c r="U53" s="1">
        <v>0.5</v>
      </c>
      <c r="V53" s="1" t="s">
        <v>36</v>
      </c>
      <c r="W53" s="1" t="s">
        <v>108</v>
      </c>
      <c r="X53" s="1" t="s">
        <v>38</v>
      </c>
      <c r="Y53" s="1" t="s">
        <v>109</v>
      </c>
      <c r="Z53" s="1">
        <v>1.035</v>
      </c>
      <c r="AA53" s="1">
        <v>1.029</v>
      </c>
      <c r="AB53" s="1">
        <v>1.041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</row>
    <row r="54" s="12" customFormat="1" ht="13.85" spans="1:104">
      <c r="A54" s="1">
        <v>31</v>
      </c>
      <c r="B54" s="1">
        <v>1</v>
      </c>
      <c r="C54" s="1"/>
      <c r="D54" s="1">
        <v>2017</v>
      </c>
      <c r="E54" s="1"/>
      <c r="F54" s="1" t="s">
        <v>45</v>
      </c>
      <c r="G54" s="1" t="s">
        <v>119</v>
      </c>
      <c r="H54" s="1" t="str">
        <f>VLOOKUP(G54,[1]Sheet1!A:E,2,FALSE)</f>
        <v>Lisbon, Portugal</v>
      </c>
      <c r="I54" s="1" t="str">
        <f>VLOOKUP(G54,[1]Sheet1!A:E,3,FALSE)</f>
        <v>Europe</v>
      </c>
      <c r="J54" s="1" t="str">
        <f>VLOOKUP(G54,[1]Sheet1!A:E,4,FALSE)</f>
        <v>Mediterranean</v>
      </c>
      <c r="K54" s="1" t="str">
        <f>VLOOKUP(G54,[1]Sheet1!A:E,5,FALSE)</f>
        <v>High income</v>
      </c>
      <c r="L54" s="1"/>
      <c r="M54" s="1"/>
      <c r="N54" s="1" t="s">
        <v>32</v>
      </c>
      <c r="O54" s="1"/>
      <c r="P54" s="1"/>
      <c r="Q54" s="1" t="s">
        <v>120</v>
      </c>
      <c r="R54" s="1" t="s">
        <v>34</v>
      </c>
      <c r="S54" s="1"/>
      <c r="T54" s="1" t="s">
        <v>121</v>
      </c>
      <c r="U54" s="1">
        <v>15.5</v>
      </c>
      <c r="V54" s="1" t="s">
        <v>36</v>
      </c>
      <c r="W54" s="1" t="s">
        <v>122</v>
      </c>
      <c r="X54" s="1" t="s">
        <v>122</v>
      </c>
      <c r="Y54" s="1" t="s">
        <v>109</v>
      </c>
      <c r="Z54" s="1">
        <v>1.045</v>
      </c>
      <c r="AA54" s="1">
        <v>1.04</v>
      </c>
      <c r="AB54" s="1">
        <v>1.061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</row>
    <row r="55" s="12" customFormat="1" ht="13.85" spans="1:104">
      <c r="A55" s="13">
        <v>31</v>
      </c>
      <c r="B55" s="6">
        <v>2</v>
      </c>
      <c r="C55" s="14"/>
      <c r="D55" s="9">
        <v>2017</v>
      </c>
      <c r="E55" s="6"/>
      <c r="F55" s="7" t="s">
        <v>45</v>
      </c>
      <c r="G55" s="7" t="s">
        <v>123</v>
      </c>
      <c r="H55" s="7" t="str">
        <f>VLOOKUP(G55,[1]Sheet1!A:E,2,FALSE)</f>
        <v>Porto, Portugal</v>
      </c>
      <c r="I55" s="7" t="str">
        <f>VLOOKUP(G55,[1]Sheet1!A:E,3,FALSE)</f>
        <v>Europe</v>
      </c>
      <c r="J55" s="7" t="str">
        <f>VLOOKUP(G55,[1]Sheet1!A:E,4,FALSE)</f>
        <v>Mediterranean</v>
      </c>
      <c r="K55" s="7" t="str">
        <f>VLOOKUP(G55,[1]Sheet1!A:E,5,FALSE)</f>
        <v>High income</v>
      </c>
      <c r="L55" s="7"/>
      <c r="M55" s="11"/>
      <c r="N55" s="7" t="s">
        <v>32</v>
      </c>
      <c r="O55" s="7"/>
      <c r="P55" s="7"/>
      <c r="Q55" s="7" t="s">
        <v>120</v>
      </c>
      <c r="R55" s="7" t="s">
        <v>34</v>
      </c>
      <c r="S55" s="7"/>
      <c r="T55" s="7" t="s">
        <v>121</v>
      </c>
      <c r="U55" s="11">
        <v>15.5</v>
      </c>
      <c r="V55" s="7" t="s">
        <v>36</v>
      </c>
      <c r="W55" s="7" t="s">
        <v>122</v>
      </c>
      <c r="X55" s="7" t="s">
        <v>122</v>
      </c>
      <c r="Y55" s="7" t="s">
        <v>109</v>
      </c>
      <c r="Z55" s="8">
        <v>1.037</v>
      </c>
      <c r="AA55" s="8">
        <v>1.032</v>
      </c>
      <c r="AB55" s="8">
        <v>1.041</v>
      </c>
    </row>
  </sheetData>
  <autoFilter xmlns:etc="http://www.wps.cn/officeDocument/2017/etCustomData" ref="A1:AB55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"/>
  <sheetViews>
    <sheetView workbookViewId="0">
      <selection activeCell="H1" sqref="H1"/>
    </sheetView>
  </sheetViews>
  <sheetFormatPr defaultColWidth="9" defaultRowHeight="13.5"/>
  <cols>
    <col min="17" max="17" width="74.6106194690265" customWidth="1"/>
    <col min="23" max="23" width="34.5929203539823" customWidth="1"/>
  </cols>
  <sheetData>
    <row r="1" ht="13.9" spans="1:38">
      <c r="A1" s="5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8" t="s">
        <v>6</v>
      </c>
      <c r="H1" s="8" t="s">
        <v>6</v>
      </c>
      <c r="I1" s="9" t="s">
        <v>7</v>
      </c>
      <c r="J1" s="9" t="s">
        <v>8</v>
      </c>
      <c r="K1" s="9" t="s">
        <v>9</v>
      </c>
      <c r="L1" s="8" t="s">
        <v>10</v>
      </c>
      <c r="M1" s="10" t="s">
        <v>11</v>
      </c>
      <c r="N1" s="2" t="s">
        <v>12</v>
      </c>
      <c r="O1" s="8" t="s">
        <v>13</v>
      </c>
      <c r="P1" s="2" t="s">
        <v>14</v>
      </c>
      <c r="Q1" s="2" t="s">
        <v>15</v>
      </c>
      <c r="R1" s="2" t="s">
        <v>16</v>
      </c>
      <c r="S1" s="8" t="s">
        <v>17</v>
      </c>
      <c r="T1" s="2" t="s">
        <v>18</v>
      </c>
      <c r="U1" s="15" t="s">
        <v>19</v>
      </c>
      <c r="V1" s="2" t="s">
        <v>20</v>
      </c>
      <c r="W1" s="2" t="s">
        <v>21</v>
      </c>
      <c r="X1" s="2"/>
      <c r="Y1" s="8" t="s">
        <v>22</v>
      </c>
      <c r="Z1" s="7" t="s">
        <v>23</v>
      </c>
      <c r="AA1" s="2" t="s">
        <v>24</v>
      </c>
      <c r="AB1" s="2" t="s">
        <v>25</v>
      </c>
    </row>
    <row r="2" ht="13.85" spans="1:38">
      <c r="A2" s="1">
        <v>70</v>
      </c>
      <c r="B2" s="1">
        <v>1</v>
      </c>
      <c r="C2" s="1" t="s">
        <v>124</v>
      </c>
      <c r="D2" s="1">
        <v>2010</v>
      </c>
      <c r="E2" s="1" t="s">
        <v>125</v>
      </c>
      <c r="F2" s="1" t="s">
        <v>26</v>
      </c>
      <c r="G2" s="1" t="s">
        <v>126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127</v>
      </c>
      <c r="M2" s="1">
        <v>0.645</v>
      </c>
      <c r="N2" s="1" t="s">
        <v>32</v>
      </c>
      <c r="O2" s="1"/>
      <c r="P2" s="1" t="s">
        <v>128</v>
      </c>
      <c r="Q2" s="1" t="s">
        <v>129</v>
      </c>
      <c r="R2" s="1" t="s">
        <v>34</v>
      </c>
      <c r="S2" s="1"/>
      <c r="T2" s="1" t="s">
        <v>130</v>
      </c>
      <c r="U2" s="1">
        <v>14</v>
      </c>
      <c r="V2" s="1" t="s">
        <v>36</v>
      </c>
      <c r="W2" s="1" t="s">
        <v>131</v>
      </c>
      <c r="X2" s="1" t="s">
        <v>132</v>
      </c>
      <c r="Y2" s="1" t="s">
        <v>109</v>
      </c>
      <c r="Z2" s="1">
        <v>1.018</v>
      </c>
      <c r="AA2" s="1">
        <v>1.009</v>
      </c>
      <c r="AB2" s="1">
        <v>1.027</v>
      </c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3.85" spans="1:38">
      <c r="A3" s="1">
        <v>70</v>
      </c>
      <c r="B3" s="1">
        <v>2</v>
      </c>
      <c r="C3" s="1"/>
      <c r="D3" s="1">
        <v>2010</v>
      </c>
      <c r="E3" s="1"/>
      <c r="F3" s="1" t="s">
        <v>88</v>
      </c>
      <c r="G3" s="1" t="s">
        <v>126</v>
      </c>
      <c r="H3" s="1" t="s">
        <v>28</v>
      </c>
      <c r="I3" s="1" t="s">
        <v>29</v>
      </c>
      <c r="J3" s="1" t="s">
        <v>30</v>
      </c>
      <c r="K3" s="1" t="s">
        <v>31</v>
      </c>
      <c r="L3" s="1"/>
      <c r="M3" s="1">
        <v>0.645</v>
      </c>
      <c r="N3" s="1" t="s">
        <v>32</v>
      </c>
      <c r="O3" s="1"/>
      <c r="P3" s="1"/>
      <c r="Q3" s="1" t="s">
        <v>129</v>
      </c>
      <c r="R3" s="1" t="s">
        <v>34</v>
      </c>
      <c r="S3" s="1"/>
      <c r="T3" s="1" t="s">
        <v>130</v>
      </c>
      <c r="U3" s="1">
        <v>14</v>
      </c>
      <c r="V3" s="1" t="s">
        <v>36</v>
      </c>
      <c r="W3" s="1" t="s">
        <v>131</v>
      </c>
      <c r="X3" s="1" t="s">
        <v>132</v>
      </c>
      <c r="Y3" s="1" t="s">
        <v>109</v>
      </c>
      <c r="Z3" s="1">
        <v>1.027</v>
      </c>
      <c r="AA3" s="1">
        <v>1.018</v>
      </c>
      <c r="AB3" s="1">
        <v>1.036</v>
      </c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3.85" spans="1:38">
      <c r="A4" s="1">
        <v>70</v>
      </c>
      <c r="B4" s="1">
        <v>3</v>
      </c>
      <c r="C4" s="1"/>
      <c r="D4" s="1">
        <v>2010</v>
      </c>
      <c r="E4" s="1"/>
      <c r="F4" s="1" t="s">
        <v>89</v>
      </c>
      <c r="G4" s="1" t="s">
        <v>126</v>
      </c>
      <c r="H4" s="1" t="s">
        <v>28</v>
      </c>
      <c r="I4" s="1" t="s">
        <v>29</v>
      </c>
      <c r="J4" s="1" t="s">
        <v>30</v>
      </c>
      <c r="K4" s="1" t="s">
        <v>31</v>
      </c>
      <c r="L4" s="1"/>
      <c r="M4" s="1">
        <v>0.645</v>
      </c>
      <c r="N4" s="1" t="s">
        <v>32</v>
      </c>
      <c r="O4" s="1"/>
      <c r="P4" s="1"/>
      <c r="Q4" s="1" t="s">
        <v>129</v>
      </c>
      <c r="R4" s="1" t="s">
        <v>34</v>
      </c>
      <c r="S4" s="1"/>
      <c r="T4" s="1" t="s">
        <v>130</v>
      </c>
      <c r="U4" s="1">
        <v>14</v>
      </c>
      <c r="V4" s="1" t="s">
        <v>36</v>
      </c>
      <c r="W4" s="1" t="s">
        <v>131</v>
      </c>
      <c r="X4" s="1" t="s">
        <v>132</v>
      </c>
      <c r="Y4" s="1" t="s">
        <v>109</v>
      </c>
      <c r="Z4" s="1">
        <v>1.019</v>
      </c>
      <c r="AA4" s="1">
        <v>1.009</v>
      </c>
      <c r="AB4" s="1">
        <v>1.029</v>
      </c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3.85" spans="1:3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3.85" spans="1:3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3.85" spans="1:3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13.85" spans="1:3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ht="13.85" spans="1:3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3.85" spans="1:3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3.85" spans="1:3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3.85" spans="1:3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6"/>
  <sheetViews>
    <sheetView workbookViewId="0">
      <selection activeCell="H1" sqref="H1"/>
    </sheetView>
  </sheetViews>
  <sheetFormatPr defaultColWidth="9.02654867256637" defaultRowHeight="13.85" outlineLevelRow="5"/>
  <cols>
    <col min="1" max="6" width="9.02654867256637" style="4"/>
    <col min="7" max="7" width="20.4513274336283" style="4" customWidth="1"/>
    <col min="8" max="16" width="9.02654867256637" style="4"/>
    <col min="17" max="17" width="53.6371681415929" style="4" customWidth="1"/>
    <col min="18" max="28" width="9.02654867256637" style="4"/>
  </cols>
  <sheetData>
    <row r="1" ht="13.9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6" t="s">
        <v>19</v>
      </c>
      <c r="V1" s="1" t="s">
        <v>20</v>
      </c>
      <c r="W1" s="1" t="s">
        <v>21</v>
      </c>
      <c r="X1" s="1"/>
      <c r="Y1" s="1" t="s">
        <v>22</v>
      </c>
      <c r="Z1" s="1" t="s">
        <v>23</v>
      </c>
      <c r="AA1" s="1" t="s">
        <v>24</v>
      </c>
      <c r="AB1" s="1" t="s">
        <v>25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ht="13.9" spans="1:84">
      <c r="A2" s="1">
        <v>434</v>
      </c>
      <c r="B2" s="1">
        <v>1</v>
      </c>
      <c r="C2" s="1"/>
      <c r="D2" s="1">
        <v>2015</v>
      </c>
      <c r="E2" s="1"/>
      <c r="F2" s="1" t="s">
        <v>40</v>
      </c>
      <c r="G2" s="1" t="s">
        <v>133</v>
      </c>
      <c r="H2" s="1" t="s">
        <v>134</v>
      </c>
      <c r="I2" s="1" t="s">
        <v>47</v>
      </c>
      <c r="J2" s="1" t="s">
        <v>135</v>
      </c>
      <c r="K2" s="1" t="s">
        <v>31</v>
      </c>
      <c r="L2" s="1"/>
      <c r="M2" s="1"/>
      <c r="N2" s="1"/>
      <c r="O2" s="1"/>
      <c r="P2" s="1"/>
      <c r="Q2" s="1" t="s">
        <v>136</v>
      </c>
      <c r="R2" s="1" t="s">
        <v>34</v>
      </c>
      <c r="S2" s="1"/>
      <c r="T2" s="1" t="s">
        <v>137</v>
      </c>
      <c r="U2" s="1">
        <v>2.5</v>
      </c>
      <c r="V2" s="1" t="s">
        <v>36</v>
      </c>
      <c r="W2" s="1" t="s">
        <v>138</v>
      </c>
      <c r="X2" s="1" t="s">
        <v>139</v>
      </c>
      <c r="Y2" s="1" t="s">
        <v>39</v>
      </c>
      <c r="Z2" s="1">
        <v>1.001</v>
      </c>
      <c r="AA2" s="1">
        <v>0.993</v>
      </c>
      <c r="AB2" s="1">
        <v>1.01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>
      <c r="A3" s="1">
        <v>879</v>
      </c>
      <c r="B3" s="1">
        <v>1</v>
      </c>
      <c r="C3" s="1" t="s">
        <v>140</v>
      </c>
      <c r="D3" s="1">
        <v>2013</v>
      </c>
      <c r="E3" s="1" t="s">
        <v>141</v>
      </c>
      <c r="F3" s="1" t="s">
        <v>45</v>
      </c>
      <c r="G3" s="1" t="s">
        <v>119</v>
      </c>
      <c r="H3" s="1" t="s">
        <v>119</v>
      </c>
      <c r="I3" s="1" t="s">
        <v>29</v>
      </c>
      <c r="J3" s="1" t="s">
        <v>142</v>
      </c>
      <c r="K3" s="1" t="s">
        <v>31</v>
      </c>
      <c r="L3" s="1" t="s">
        <v>60</v>
      </c>
      <c r="M3" s="1" t="s">
        <v>143</v>
      </c>
      <c r="N3" s="1" t="s">
        <v>144</v>
      </c>
      <c r="O3" s="1"/>
      <c r="P3" s="1" t="s">
        <v>145</v>
      </c>
      <c r="Q3" s="1" t="s">
        <v>146</v>
      </c>
      <c r="R3" s="1" t="s">
        <v>34</v>
      </c>
      <c r="S3" s="1"/>
      <c r="T3" s="1"/>
      <c r="U3" s="1"/>
      <c r="V3" s="1"/>
      <c r="W3" s="1" t="s">
        <v>147</v>
      </c>
      <c r="X3" s="1" t="s">
        <v>139</v>
      </c>
      <c r="Y3" s="1" t="s">
        <v>55</v>
      </c>
      <c r="Z3" s="1">
        <v>1.013</v>
      </c>
      <c r="AA3" s="1">
        <v>1.009</v>
      </c>
      <c r="AB3" s="1">
        <v>1.021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4">
      <c r="A4" s="1">
        <v>879</v>
      </c>
      <c r="B4" s="1">
        <v>2</v>
      </c>
      <c r="C4" s="1"/>
      <c r="D4" s="1">
        <v>2013</v>
      </c>
      <c r="E4" s="1"/>
      <c r="F4" s="1" t="s">
        <v>45</v>
      </c>
      <c r="G4" s="1" t="s">
        <v>123</v>
      </c>
      <c r="H4" s="1" t="s">
        <v>148</v>
      </c>
      <c r="I4" s="1" t="s">
        <v>29</v>
      </c>
      <c r="J4" s="1" t="s">
        <v>142</v>
      </c>
      <c r="K4" s="1" t="s">
        <v>31</v>
      </c>
      <c r="L4" s="1"/>
      <c r="M4" s="1"/>
      <c r="N4" s="1" t="s">
        <v>144</v>
      </c>
      <c r="O4" s="1"/>
      <c r="P4" s="1"/>
      <c r="Q4" s="1" t="s">
        <v>149</v>
      </c>
      <c r="R4" s="1" t="s">
        <v>34</v>
      </c>
      <c r="S4" s="1"/>
      <c r="T4" s="1"/>
      <c r="U4" s="1"/>
      <c r="V4" s="1"/>
      <c r="W4" s="1" t="s">
        <v>147</v>
      </c>
      <c r="X4" s="1" t="s">
        <v>139</v>
      </c>
      <c r="Y4" s="1" t="s">
        <v>55</v>
      </c>
      <c r="Z4" s="1">
        <v>1.016</v>
      </c>
      <c r="AA4" s="1">
        <v>1.009</v>
      </c>
      <c r="AB4" s="1">
        <v>1.026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</sheetData>
  <autoFilter xmlns:etc="http://www.wps.cn/officeDocument/2017/etCustomData" ref="A1:AB4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J14" sqref="J14"/>
    </sheetView>
  </sheetViews>
  <sheetFormatPr defaultColWidth="9.02654867256637" defaultRowHeight="13.5" outlineLevelRow="6"/>
  <sheetData>
    <row r="1" ht="13.9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6" t="s">
        <v>19</v>
      </c>
      <c r="V1" s="1" t="s">
        <v>20</v>
      </c>
      <c r="W1" s="1" t="s">
        <v>21</v>
      </c>
      <c r="X1" s="1"/>
      <c r="Y1" s="1" t="s">
        <v>22</v>
      </c>
      <c r="Z1" s="1" t="s">
        <v>23</v>
      </c>
      <c r="AA1" s="1" t="s">
        <v>24</v>
      </c>
      <c r="AB1" s="2" t="s">
        <v>25</v>
      </c>
    </row>
    <row r="2" ht="13.85" spans="1:28">
      <c r="A2" s="1">
        <v>145</v>
      </c>
      <c r="B2" s="1">
        <v>1</v>
      </c>
      <c r="C2" s="1" t="s">
        <v>150</v>
      </c>
      <c r="D2" s="1">
        <v>2019</v>
      </c>
      <c r="E2" s="1" t="s">
        <v>57</v>
      </c>
      <c r="F2" s="1" t="s">
        <v>26</v>
      </c>
      <c r="G2" s="1" t="s">
        <v>58</v>
      </c>
      <c r="H2" s="1" t="s">
        <v>58</v>
      </c>
      <c r="I2" s="1" t="s">
        <v>59</v>
      </c>
      <c r="J2" s="1" t="s">
        <v>48</v>
      </c>
      <c r="K2" s="1" t="s">
        <v>31</v>
      </c>
      <c r="L2" s="1" t="s">
        <v>60</v>
      </c>
      <c r="M2" s="1"/>
      <c r="N2" s="1" t="s">
        <v>61</v>
      </c>
      <c r="O2" s="1"/>
      <c r="P2" s="1" t="s">
        <v>62</v>
      </c>
      <c r="Q2" s="1" t="s">
        <v>151</v>
      </c>
      <c r="R2" s="1" t="s">
        <v>34</v>
      </c>
      <c r="S2" s="1"/>
      <c r="T2" s="1" t="s">
        <v>64</v>
      </c>
      <c r="U2" s="1">
        <v>12.5</v>
      </c>
      <c r="V2" s="1" t="s">
        <v>36</v>
      </c>
      <c r="W2" s="1" t="s">
        <v>152</v>
      </c>
      <c r="X2" s="1" t="s">
        <v>153</v>
      </c>
      <c r="Y2" s="1" t="s">
        <v>39</v>
      </c>
      <c r="Z2" s="1">
        <v>1.0184</v>
      </c>
      <c r="AA2" s="1">
        <v>1.0076</v>
      </c>
      <c r="AB2" s="3">
        <v>1.0292</v>
      </c>
    </row>
    <row r="3" ht="13.85" spans="1:28">
      <c r="A3" s="1">
        <v>145</v>
      </c>
      <c r="B3" s="1">
        <v>2</v>
      </c>
      <c r="C3" s="1"/>
      <c r="D3" s="1">
        <v>2019</v>
      </c>
      <c r="E3" s="1"/>
      <c r="F3" s="1" t="s">
        <v>40</v>
      </c>
      <c r="G3" s="1" t="s">
        <v>58</v>
      </c>
      <c r="H3" s="1" t="s">
        <v>58</v>
      </c>
      <c r="I3" s="1" t="s">
        <v>59</v>
      </c>
      <c r="J3" s="1" t="s">
        <v>48</v>
      </c>
      <c r="K3" s="1" t="s">
        <v>31</v>
      </c>
      <c r="L3" s="1"/>
      <c r="M3" s="1"/>
      <c r="N3" s="1"/>
      <c r="O3" s="1"/>
      <c r="P3" s="1"/>
      <c r="Q3" s="1" t="s">
        <v>151</v>
      </c>
      <c r="R3" s="1" t="s">
        <v>34</v>
      </c>
      <c r="S3" s="1"/>
      <c r="T3" s="1" t="s">
        <v>64</v>
      </c>
      <c r="U3" s="1">
        <v>12.5</v>
      </c>
      <c r="V3" s="1" t="s">
        <v>36</v>
      </c>
      <c r="W3" s="1" t="s">
        <v>152</v>
      </c>
      <c r="X3" s="1" t="s">
        <v>153</v>
      </c>
      <c r="Y3" s="1" t="s">
        <v>39</v>
      </c>
      <c r="Z3" s="1">
        <v>1.0237</v>
      </c>
      <c r="AA3" s="1">
        <v>1.0119</v>
      </c>
      <c r="AB3" s="3">
        <v>1.0357</v>
      </c>
    </row>
    <row r="4" ht="13.85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3.85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3.85" spans="1:2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3.85" spans="1:2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</sheetData>
  <autoFilter xmlns:etc="http://www.wps.cn/officeDocument/2017/etCustomData" ref="A1:AB3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all-cause mortality</vt:lpstr>
      <vt:lpstr>Circulatory Diseases Morbidity</vt:lpstr>
      <vt:lpstr>Hospitalization</vt:lpstr>
      <vt:lpstr>emergency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李燊</dc:creator>
  <cp:lastModifiedBy>WPS_1602315140</cp:lastModifiedBy>
  <dcterms:created xsi:type="dcterms:W3CDTF">2023-05-12T11:15:00Z</dcterms:created>
  <dcterms:modified xsi:type="dcterms:W3CDTF">2026-08-14T03:07:00Z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64CB331C9A5F4353AB6859BE764A2997_12</vt:lpwstr>
  </property>
</Properties>
</file>